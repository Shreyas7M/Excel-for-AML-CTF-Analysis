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Pivot Table feature/"/>
    </mc:Choice>
  </mc:AlternateContent>
  <xr:revisionPtr revIDLastSave="0" documentId="13_ncr:1_{99972545-4B1B-5843-9300-F7750DDD7CB0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What to do" sheetId="1" r:id="rId1"/>
    <sheet name="Sheet1" sheetId="5" r:id="rId2"/>
    <sheet name="Original statement" sheetId="4" r:id="rId3"/>
    <sheet name="Statement of debit" sheetId="2" r:id="rId4"/>
    <sheet name="Statement of credit" sheetId="3" r:id="rId5"/>
  </sheets>
  <definedNames>
    <definedName name="_xlnm._FilterDatabase" localSheetId="3" hidden="1">'Statement of debit'!$A$1:$D$109</definedName>
    <definedName name="Excel_statement_exercise_for_pivot_and_filter1_1" localSheetId="2">'Original statement'!$A$1:$G$80</definedName>
  </definedNames>
  <calcPr calcId="181029"/>
  <pivotCaches>
    <pivotCache cacheId="5" r:id="rId6"/>
  </pivotCaches>
</workbook>
</file>

<file path=xl/calcChain.xml><?xml version="1.0" encoding="utf-8"?>
<calcChain xmlns="http://schemas.openxmlformats.org/spreadsheetml/2006/main">
  <c r="E6" i="4" l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tatement exercise for pivot and filter1121" type="6" refreshedVersion="3" background="1" saveData="1">
    <textPr codePage="437" sourceFile="C:\Users\Nasir BD\Desktop\Excel AML CFT project folder\Text statements of accounts\Excel statement exercise for pivot and filter1.txt">
      <textFields count="8">
        <textField type="MDY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<sst xmlns="http://schemas.openxmlformats.org/spreadsheetml/2006/main" count="914" uniqueCount="275">
  <si>
    <t>Transaction Date</t>
  </si>
  <si>
    <t>Trxn No.</t>
  </si>
  <si>
    <t>Transaction Description</t>
  </si>
  <si>
    <t>Debit</t>
  </si>
  <si>
    <t>Trf to Eagle Ent.@xy country</t>
  </si>
  <si>
    <t>Trf to Geo Eng @za country</t>
  </si>
  <si>
    <t>Trf to John @xy country</t>
  </si>
  <si>
    <t>Trf to Star Ent.@xy country</t>
  </si>
  <si>
    <t>Sally ATM (Cash) @ PRK RD</t>
  </si>
  <si>
    <t>Sally ATM (Cash) @ Ring RD</t>
  </si>
  <si>
    <t xml:space="preserve">Trf to Geo Eng </t>
  </si>
  <si>
    <t>12546765</t>
  </si>
  <si>
    <t>12546766</t>
  </si>
  <si>
    <t>12546783</t>
  </si>
  <si>
    <t>12546784</t>
  </si>
  <si>
    <t>12546785</t>
  </si>
  <si>
    <t>12546786</t>
  </si>
  <si>
    <t>12546787</t>
  </si>
  <si>
    <t>12546788</t>
  </si>
  <si>
    <t>Pos High Jewelry Ltd</t>
  </si>
  <si>
    <t>12546789</t>
  </si>
  <si>
    <t>12546790</t>
  </si>
  <si>
    <t>12546791</t>
  </si>
  <si>
    <t>12546794</t>
  </si>
  <si>
    <t>12546793</t>
  </si>
  <si>
    <t>Trf John @ xy country</t>
  </si>
  <si>
    <t>12546792</t>
  </si>
  <si>
    <t>12546810</t>
  </si>
  <si>
    <t>12546812</t>
  </si>
  <si>
    <t>12546811</t>
  </si>
  <si>
    <t>12546814</t>
  </si>
  <si>
    <t>12546815</t>
  </si>
  <si>
    <t>Pos south bit Jewelry Ltd</t>
  </si>
  <si>
    <t>12546817</t>
  </si>
  <si>
    <t>12546816</t>
  </si>
  <si>
    <t xml:space="preserve">Trf My joy Foundation </t>
  </si>
  <si>
    <t>12546813</t>
  </si>
  <si>
    <t>Trf to Geo Eng @zz country</t>
  </si>
  <si>
    <t>12546831</t>
  </si>
  <si>
    <t>12546834</t>
  </si>
  <si>
    <t>12546833</t>
  </si>
  <si>
    <t>12546832</t>
  </si>
  <si>
    <t>12546835</t>
  </si>
  <si>
    <t>12546836</t>
  </si>
  <si>
    <t>12546838</t>
  </si>
  <si>
    <t>12546839</t>
  </si>
  <si>
    <t>12546837</t>
  </si>
  <si>
    <t>12546840</t>
  </si>
  <si>
    <t>12546841</t>
  </si>
  <si>
    <t>12546842</t>
  </si>
  <si>
    <t>12546858</t>
  </si>
  <si>
    <t>12546854</t>
  </si>
  <si>
    <t>12546855</t>
  </si>
  <si>
    <t>12546856</t>
  </si>
  <si>
    <t>12546857</t>
  </si>
  <si>
    <t>12546860</t>
  </si>
  <si>
    <t>12546861</t>
  </si>
  <si>
    <t>12546862</t>
  </si>
  <si>
    <t>12546863</t>
  </si>
  <si>
    <t>12546864</t>
  </si>
  <si>
    <t>12546865</t>
  </si>
  <si>
    <t>12546859</t>
  </si>
  <si>
    <t>12546873</t>
  </si>
  <si>
    <t>12546874</t>
  </si>
  <si>
    <t>12546875</t>
  </si>
  <si>
    <t>12546876</t>
  </si>
  <si>
    <t>12546877</t>
  </si>
  <si>
    <t>12546879</t>
  </si>
  <si>
    <t>12546880</t>
  </si>
  <si>
    <t>12546881</t>
  </si>
  <si>
    <t>12546878</t>
  </si>
  <si>
    <t>12546892</t>
  </si>
  <si>
    <t>12546891</t>
  </si>
  <si>
    <t>12546893</t>
  </si>
  <si>
    <t>12546895</t>
  </si>
  <si>
    <t>12546896</t>
  </si>
  <si>
    <t>12546897</t>
  </si>
  <si>
    <t>12546894</t>
  </si>
  <si>
    <t>12546910</t>
  </si>
  <si>
    <t>12546911</t>
  </si>
  <si>
    <t>12546909</t>
  </si>
  <si>
    <t>12546915</t>
  </si>
  <si>
    <t>12546913</t>
  </si>
  <si>
    <t>12546914</t>
  </si>
  <si>
    <t>12546912</t>
  </si>
  <si>
    <t>12546926</t>
  </si>
  <si>
    <t>12546924</t>
  </si>
  <si>
    <t>12546925</t>
  </si>
  <si>
    <t>12546923</t>
  </si>
  <si>
    <t>12546927</t>
  </si>
  <si>
    <t>12546928</t>
  </si>
  <si>
    <t>12546929</t>
  </si>
  <si>
    <t>12546930</t>
  </si>
  <si>
    <t>12546931</t>
  </si>
  <si>
    <t>12546932</t>
  </si>
  <si>
    <t>Credit</t>
  </si>
  <si>
    <t>Mr John cash deposit@c-branch</t>
  </si>
  <si>
    <t>Mr John cash deposit@a-branch</t>
  </si>
  <si>
    <t>Martha cash deposit@b-branch</t>
  </si>
  <si>
    <t>Martha cash deposit@a-branch</t>
  </si>
  <si>
    <t>Mr John cash deposit@b-branch</t>
  </si>
  <si>
    <t>12546767</t>
  </si>
  <si>
    <t>12546768</t>
  </si>
  <si>
    <t>12546769</t>
  </si>
  <si>
    <t>12546770</t>
  </si>
  <si>
    <t>12546771</t>
  </si>
  <si>
    <t>12546772</t>
  </si>
  <si>
    <t>12546773</t>
  </si>
  <si>
    <t>12546774</t>
  </si>
  <si>
    <t>12546775</t>
  </si>
  <si>
    <t>12546776</t>
  </si>
  <si>
    <t>12546777</t>
  </si>
  <si>
    <t>12546778</t>
  </si>
  <si>
    <t>12546779</t>
  </si>
  <si>
    <t>12546780</t>
  </si>
  <si>
    <t>12546781</t>
  </si>
  <si>
    <t>12546782</t>
  </si>
  <si>
    <t>12546795</t>
  </si>
  <si>
    <t>12546796</t>
  </si>
  <si>
    <t>trf deposit john &amp; jane enterprises z bank plc</t>
  </si>
  <si>
    <t>12546797</t>
  </si>
  <si>
    <t>12546798</t>
  </si>
  <si>
    <t>12546799</t>
  </si>
  <si>
    <t>12546800</t>
  </si>
  <si>
    <t>12546801</t>
  </si>
  <si>
    <t>12546802</t>
  </si>
  <si>
    <t>12546803</t>
  </si>
  <si>
    <t>12546804</t>
  </si>
  <si>
    <t>12546805</t>
  </si>
  <si>
    <t>12546806</t>
  </si>
  <si>
    <t>12546807</t>
  </si>
  <si>
    <t>12546808</t>
  </si>
  <si>
    <t>12546809</t>
  </si>
  <si>
    <t>12546818</t>
  </si>
  <si>
    <t>12546819</t>
  </si>
  <si>
    <t>12546820</t>
  </si>
  <si>
    <t>12546821</t>
  </si>
  <si>
    <t>12546822</t>
  </si>
  <si>
    <t>12546823</t>
  </si>
  <si>
    <t>12546824</t>
  </si>
  <si>
    <t>12546825</t>
  </si>
  <si>
    <t>12546826</t>
  </si>
  <si>
    <t>12546827</t>
  </si>
  <si>
    <t>12546828</t>
  </si>
  <si>
    <t>12546829</t>
  </si>
  <si>
    <t>12546830</t>
  </si>
  <si>
    <t>12546843</t>
  </si>
  <si>
    <t>12546844</t>
  </si>
  <si>
    <t>12546845</t>
  </si>
  <si>
    <t>12546846</t>
  </si>
  <si>
    <t>12546847</t>
  </si>
  <si>
    <t>12546848</t>
  </si>
  <si>
    <t>12546849</t>
  </si>
  <si>
    <t>12546850</t>
  </si>
  <si>
    <t>12546851</t>
  </si>
  <si>
    <t>12546852</t>
  </si>
  <si>
    <t>12546853</t>
  </si>
  <si>
    <t>12546866</t>
  </si>
  <si>
    <t>12546867</t>
  </si>
  <si>
    <t>12546868</t>
  </si>
  <si>
    <t>12546869</t>
  </si>
  <si>
    <t>12546870</t>
  </si>
  <si>
    <t>12546871</t>
  </si>
  <si>
    <t>12546872</t>
  </si>
  <si>
    <t>12546882</t>
  </si>
  <si>
    <t>12546883</t>
  </si>
  <si>
    <t>12546884</t>
  </si>
  <si>
    <t>12546885</t>
  </si>
  <si>
    <t>12546886</t>
  </si>
  <si>
    <t>12546887</t>
  </si>
  <si>
    <t>12546888</t>
  </si>
  <si>
    <t>12546889</t>
  </si>
  <si>
    <t>12546890</t>
  </si>
  <si>
    <t>12546898</t>
  </si>
  <si>
    <t>12546899</t>
  </si>
  <si>
    <t>12546900</t>
  </si>
  <si>
    <t>12546901</t>
  </si>
  <si>
    <t>12546902</t>
  </si>
  <si>
    <t>12546903</t>
  </si>
  <si>
    <t>12546904</t>
  </si>
  <si>
    <t>12546905</t>
  </si>
  <si>
    <t>12546906</t>
  </si>
  <si>
    <t>12546907</t>
  </si>
  <si>
    <t>12546908</t>
  </si>
  <si>
    <t>12546916</t>
  </si>
  <si>
    <t>12546917</t>
  </si>
  <si>
    <t>12546918</t>
  </si>
  <si>
    <t>12546919</t>
  </si>
  <si>
    <t>12546920</t>
  </si>
  <si>
    <t>12546921</t>
  </si>
  <si>
    <t>12546922</t>
  </si>
  <si>
    <t>Grand Totals and Sub-Totals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</si>
  <si>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Place the transaction description on the pivot table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</si>
  <si>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Place the transaction date field on the pivot table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</si>
  <si>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Filter for only deposits</t>
    </r>
  </si>
  <si>
    <t>Label Filter</t>
  </si>
  <si>
    <t>1.    Filter for cash transactions</t>
  </si>
  <si>
    <t>2.    Filter for transfer deposits into the account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</si>
  <si>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Compare deposits into different branches</t>
    </r>
  </si>
  <si>
    <t>Value Filter</t>
  </si>
  <si>
    <t>Date Filter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</si>
  <si>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Group deposits per month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</si>
  <si>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Group  deposits per quarter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</si>
  <si>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Cash deposits per month &amp; per quarter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</si>
  <si>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Transfer deposits into the account per month</t>
    </r>
  </si>
  <si>
    <t xml:space="preserve"> Pivot Table Exercise</t>
  </si>
  <si>
    <t>`</t>
  </si>
  <si>
    <t>Statement of account John Ent.</t>
  </si>
  <si>
    <t xml:space="preserve">Bank: </t>
  </si>
  <si>
    <t>XXX</t>
  </si>
  <si>
    <t>USD Account</t>
  </si>
  <si>
    <t xml:space="preserve">Period: </t>
  </si>
  <si>
    <t>02.01.17 to 31.12.17</t>
  </si>
  <si>
    <t>Amount</t>
  </si>
  <si>
    <t>Balance</t>
  </si>
  <si>
    <r>
      <t>3.</t>
    </r>
    <r>
      <rPr>
        <sz val="7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   Filter for sub totals for deposits into a, b and c branches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</si>
  <si>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Filter for deposits transactions below reporting threshold (Amounts above 10,000 are assumed to be reportable amounts)</t>
    </r>
  </si>
  <si>
    <t>Use the statement of credit for this exercise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</si>
  <si>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Create the pivot table </t>
    </r>
  </si>
  <si>
    <t>Row Labels</t>
  </si>
  <si>
    <t>Grand Total</t>
  </si>
  <si>
    <t>02-Jan</t>
  </si>
  <si>
    <t>03-Jan</t>
  </si>
  <si>
    <t>04-Jan</t>
  </si>
  <si>
    <t>02-Feb</t>
  </si>
  <si>
    <t>06-Feb</t>
  </si>
  <si>
    <t>07-Feb</t>
  </si>
  <si>
    <t>08-Feb</t>
  </si>
  <si>
    <t>09-Feb</t>
  </si>
  <si>
    <t>02-Mar</t>
  </si>
  <si>
    <t>03-Mar</t>
  </si>
  <si>
    <t>06-Mar</t>
  </si>
  <si>
    <t>07-Mar</t>
  </si>
  <si>
    <t>08-Mar</t>
  </si>
  <si>
    <t>03-Apr</t>
  </si>
  <si>
    <t>04-Apr</t>
  </si>
  <si>
    <t>06-Apr</t>
  </si>
  <si>
    <t>07-Apr</t>
  </si>
  <si>
    <t>01-May</t>
  </si>
  <si>
    <t>04-May</t>
  </si>
  <si>
    <t>10-May</t>
  </si>
  <si>
    <t>12-May</t>
  </si>
  <si>
    <t>13-May</t>
  </si>
  <si>
    <t>04-Jun</t>
  </si>
  <si>
    <t>06-Jun</t>
  </si>
  <si>
    <t>12-Jun</t>
  </si>
  <si>
    <t>14-Jun</t>
  </si>
  <si>
    <t>03-Jul</t>
  </si>
  <si>
    <t>05-Jul</t>
  </si>
  <si>
    <t>07-Jul</t>
  </si>
  <si>
    <t>10-Jul</t>
  </si>
  <si>
    <t>12-Jul</t>
  </si>
  <si>
    <t>14-Jul</t>
  </si>
  <si>
    <t>01-Aug</t>
  </si>
  <si>
    <t>05-Aug</t>
  </si>
  <si>
    <t>11-Aug</t>
  </si>
  <si>
    <t>13-Aug</t>
  </si>
  <si>
    <t>03-Sep</t>
  </si>
  <si>
    <t>04-Sep</t>
  </si>
  <si>
    <t>10-Sep</t>
  </si>
  <si>
    <t>12-Sep</t>
  </si>
  <si>
    <t>04-Oct</t>
  </si>
  <si>
    <t>07-Oct</t>
  </si>
  <si>
    <t>10-Oct</t>
  </si>
  <si>
    <t>15-Oct</t>
  </si>
  <si>
    <t>04-Nov</t>
  </si>
  <si>
    <t>06-Nov</t>
  </si>
  <si>
    <t>11-Nov</t>
  </si>
  <si>
    <t>12-Nov</t>
  </si>
  <si>
    <t>02-Dec</t>
  </si>
  <si>
    <t>03-Dec</t>
  </si>
  <si>
    <t>12-Dec</t>
  </si>
  <si>
    <t>17-Dec</t>
  </si>
  <si>
    <t>20-Dec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</si>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</sst>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14" fontId="3" fillId="0" borderId="0" xfId="0" applyNumberFormat="1" applyFont="1"/>
    <xf numFmtId="2" fontId="3" fillId="0" borderId="0" xfId="0" applyNumberFormat="1" applyFont="1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2" fontId="3" fillId="0" borderId="0" xfId="1" applyNumberFormat="1" applyFont="1"/>
    <xf numFmtId="2" fontId="0" fillId="0" borderId="0" xfId="1" applyNumberFormat="1" applyFont="1"/>
    <xf numFmtId="2" fontId="0" fillId="0" borderId="0" xfId="1" applyNumberFormat="1" applyFont="1" applyFill="1"/>
    <xf numFmtId="0" fontId="3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left" indent="4"/>
    </xf>
    <xf numFmtId="2" fontId="0" fillId="0" borderId="0" xfId="0" applyNumberFormat="1" applyAlignment="1">
      <alignment horizontal="center"/>
    </xf>
    <xf numFmtId="2" fontId="7" fillId="0" borderId="0" xfId="0" applyNumberFormat="1" applyFont="1"/>
    <xf numFmtId="14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8" fillId="0" borderId="0" xfId="0" applyNumberFormat="1" applyFont="1"/>
    <xf numFmtId="2" fontId="0" fillId="0" borderId="0" xfId="0" quotePrefix="1" applyNumberFormat="1" applyAlignment="1">
      <alignment horizontal="center"/>
    </xf>
    <xf numFmtId="0" fontId="9" fillId="0" borderId="0" xfId="0" applyFont="1" applyAlignment="1">
      <alignment horizontal="left" indent="4"/>
    </xf>
    <xf numFmtId="0" fontId="10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 indent="2"/>
    </xf>
    <xf numFmtId="2" fontId="0" fillId="0" borderId="0" xfId="0" applyNumberFormat="1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2.658203819446" createdVersion="7" refreshedVersion="7" minRefreshableVersion="3" recordCount="241" xr:uid="{0E06F834-0A17-AD48-9043-10D69ABA573A}">
  <cacheSource type="worksheet">
    <worksheetSource ref="A5:E246" sheet="Original statement"/>
  </cacheSource>
  <cacheFields count="6">
    <cacheField name="Transaction Date" numFmtId="14">
      <sharedItems containsSemiMixedTypes="0" containsNonDate="0" containsDate="1" containsString="0" minDate="2017-01-02T00:00:00" maxDate="2017-12-21T00:00:00" count="53">
        <d v="2017-01-02T00:00:00"/>
        <d v="2017-01-03T00:00:00"/>
        <d v="2017-01-04T00:00:00"/>
        <d v="2017-02-02T00:00:00"/>
        <d v="2017-02-06T00:00:00"/>
        <d v="2017-02-07T00:00:00"/>
        <d v="2017-02-08T00:00:00"/>
        <d v="2017-02-09T00:00:00"/>
        <d v="2017-03-02T00:00:00"/>
        <d v="2017-03-03T00:00:00"/>
        <d v="2017-03-06T00:00:00"/>
        <d v="2017-03-07T00:00:00"/>
        <d v="2017-03-08T00:00:00"/>
        <d v="2017-04-03T00:00:00"/>
        <d v="2017-04-04T00:00:00"/>
        <d v="2017-04-06T00:00:00"/>
        <d v="2017-04-07T00:00:00"/>
        <d v="2017-05-01T00:00:00"/>
        <d v="2017-05-04T00:00:00"/>
        <d v="2017-05-10T00:00:00"/>
        <d v="2017-05-12T00:00:00"/>
        <d v="2017-05-13T00:00:00"/>
        <d v="2017-06-04T00:00:00"/>
        <d v="2017-06-06T00:00:00"/>
        <d v="2017-06-12T00:00:00"/>
        <d v="2017-06-14T00:00:00"/>
        <d v="2017-07-03T00:00:00"/>
        <d v="2017-07-05T00:00:00"/>
        <d v="2017-07-07T00:00:00"/>
        <d v="2017-07-10T00:00:00"/>
        <d v="2017-07-12T00:00:00"/>
        <d v="2017-07-14T00:00:00"/>
        <d v="2017-08-01T00:00:00"/>
        <d v="2017-08-05T00:00:00"/>
        <d v="2017-08-11T00:00:00"/>
        <d v="2017-08-13T00:00:00"/>
        <d v="2017-09-03T00:00:00"/>
        <d v="2017-09-04T00:00:00"/>
        <d v="2017-09-10T00:00:00"/>
        <d v="2017-09-12T00:00:00"/>
        <d v="2017-10-04T00:00:00"/>
        <d v="2017-10-07T00:00:00"/>
        <d v="2017-10-10T00:00:00"/>
        <d v="2017-10-15T00:00:00"/>
        <d v="2017-11-04T00:00:00"/>
        <d v="2017-11-06T00:00:00"/>
        <d v="2017-11-11T00:00:00"/>
        <d v="2017-11-12T00:00:00"/>
        <d v="2017-12-02T00:00:00"/>
        <d v="2017-12-03T00:00:00"/>
        <d v="2017-12-12T00:00:00"/>
        <d v="2017-12-17T00:00:00"/>
        <d v="2017-12-20T00:00:00"/>
      </sharedItems>
      <fieldGroup par="5" base="0">
        <rangePr groupBy="days" startDate="2017-01-02T00:00:00" endDate="2017-12-21T00:00:00"/>
        <groupItems count="368">
          <s v="&lt;02/01/20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/12/2017"/>
        </groupItems>
      </fieldGroup>
    </cacheField>
    <cacheField name="Trxn No." numFmtId="2">
      <sharedItems containsMixedTypes="1" containsNumber="1" containsInteger="1" minValue="12546692" maxValue="12546764"/>
    </cacheField>
    <cacheField name="Transaction Description" numFmtId="2">
      <sharedItems count="18">
        <s v="Mr John cash deposit@c-branch"/>
        <s v="Mr John cash deposit@a-branch"/>
        <s v="Martha cash deposit@b-branch"/>
        <s v="Trf to Eagle Ent.@xy country"/>
        <s v="Trf to Geo Eng @za country"/>
        <s v="Trf to John @xy country"/>
        <s v="Trf to Star Ent.@xy country"/>
        <s v="Martha cash deposit@a-branch"/>
        <s v="Sally ATM (Cash) @ PRK RD"/>
        <s v="Sally ATM (Cash) @ Ring RD"/>
        <s v="Mr John cash deposit@b-branch"/>
        <s v="Trf to Geo Eng "/>
        <s v="Pos High Jewelry Ltd"/>
        <s v="Trf John @ xy country"/>
        <s v="trf deposit john &amp; jane enterprises z bank plc"/>
        <s v="Pos south bit Jewelry Ltd"/>
        <s v="Trf My joy Foundation "/>
        <s v="Trf to Geo Eng @zz country"/>
      </sharedItems>
    </cacheField>
    <cacheField name="Amount" numFmtId="2">
      <sharedItems containsSemiMixedTypes="0" containsString="0" containsNumber="1" containsInteger="1" minValue="-215000" maxValue="340000" count="39">
        <n v="9800"/>
        <n v="10000"/>
        <n v="9700"/>
        <n v="9900"/>
        <n v="-25000"/>
        <n v="-40000"/>
        <n v="-20000"/>
        <n v="-12000"/>
        <n v="8800"/>
        <n v="-50000"/>
        <n v="-10000"/>
        <n v="-1000"/>
        <n v="7500"/>
        <n v="8000"/>
        <n v="9500"/>
        <n v="-100000"/>
        <n v="9000"/>
        <n v="-30000"/>
        <n v="150000"/>
        <n v="-75000"/>
        <n v="160000"/>
        <n v="12000"/>
        <n v="-24000"/>
        <n v="-55000"/>
        <n v="250000"/>
        <n v="-70000"/>
        <n v="-85000"/>
        <n v="-170000"/>
        <n v="-48000"/>
        <n v="-45000"/>
        <n v="-23000"/>
        <n v="-150000"/>
        <n v="-195000"/>
        <n v="-35000"/>
        <n v="-32000"/>
        <n v="-38000"/>
        <n v="340000"/>
        <n v="-215000"/>
        <n v="-43000"/>
      </sharedItems>
    </cacheField>
    <cacheField name="Balance" numFmtId="2">
      <sharedItems containsSemiMixedTypes="0" containsString="0" containsNumber="1" containsInteger="1" minValue="-900" maxValue="400600" count="223">
        <n v="9800"/>
        <n v="19800"/>
        <n v="29800"/>
        <n v="39500"/>
        <n v="49500"/>
        <n v="59500"/>
        <n v="69500"/>
        <n v="79500"/>
        <n v="89400"/>
        <n v="99400"/>
        <n v="74400"/>
        <n v="34400"/>
        <n v="14400"/>
        <n v="2400"/>
        <n v="12400"/>
        <n v="22400"/>
        <n v="32400"/>
        <n v="41200"/>
        <n v="51200"/>
        <n v="61200"/>
        <n v="71200"/>
        <n v="81200"/>
        <n v="91100"/>
        <n v="101100"/>
        <n v="111100"/>
        <n v="61100"/>
        <n v="36100"/>
        <n v="16100"/>
        <n v="6100"/>
        <n v="5100"/>
        <n v="4100"/>
        <n v="3100"/>
        <n v="2100"/>
        <n v="1100"/>
        <n v="8600"/>
        <n v="18600"/>
        <n v="28600"/>
        <n v="38600"/>
        <n v="46600"/>
        <n v="56600"/>
        <n v="66600"/>
        <n v="76600"/>
        <n v="86600"/>
        <n v="96600"/>
        <n v="106100"/>
        <n v="116100"/>
        <n v="115100"/>
        <n v="114100"/>
        <n v="113100"/>
        <n v="112100"/>
        <n v="110100"/>
        <n v="109100"/>
        <n v="108100"/>
        <n v="107100"/>
        <n v="15100"/>
        <n v="25100"/>
        <n v="35100"/>
        <n v="45100"/>
        <n v="53100"/>
        <n v="63100"/>
        <n v="73100"/>
        <n v="83100"/>
        <n v="93100"/>
        <n v="103100"/>
        <n v="123100"/>
        <n v="122100"/>
        <n v="121100"/>
        <n v="120100"/>
        <n v="119100"/>
        <n v="19100"/>
        <n v="-900"/>
        <n v="9100"/>
        <n v="29100"/>
        <n v="39100"/>
        <n v="49100"/>
        <n v="59100"/>
        <n v="69100"/>
        <n v="79100"/>
        <n v="89100"/>
        <n v="99100"/>
        <n v="129100"/>
        <n v="138600"/>
        <n v="148600"/>
        <n v="158600"/>
        <n v="157600"/>
        <n v="156600"/>
        <n v="155600"/>
        <n v="154600"/>
        <n v="124600"/>
        <n v="114600"/>
        <n v="113600"/>
        <n v="112600"/>
        <n v="111600"/>
        <n v="110600"/>
        <n v="90600"/>
        <n v="65600"/>
        <n v="75600"/>
        <n v="225600"/>
        <n v="235100"/>
        <n v="244600"/>
        <n v="254600"/>
        <n v="264600"/>
        <n v="274600"/>
        <n v="284600"/>
        <n v="294600"/>
        <n v="304600"/>
        <n v="314100"/>
        <n v="323600"/>
        <n v="333100"/>
        <n v="342600"/>
        <n v="352100"/>
        <n v="277100"/>
        <n v="252100"/>
        <n v="202100"/>
        <n v="172100"/>
        <n v="46100"/>
        <n v="21100"/>
        <n v="30600"/>
        <n v="40600"/>
        <n v="200600"/>
        <n v="212600"/>
        <n v="222100"/>
        <n v="232100"/>
        <n v="242100"/>
        <n v="262100"/>
        <n v="271600"/>
        <n v="281100"/>
        <n v="290600"/>
        <n v="300600"/>
        <n v="270600"/>
        <n v="245600"/>
        <n v="215600"/>
        <n v="191600"/>
        <n v="171600"/>
        <n v="116600"/>
        <n v="115600"/>
        <n v="14600"/>
        <n v="13600"/>
        <n v="12600"/>
        <n v="11600"/>
        <n v="261600"/>
        <n v="281600"/>
        <n v="291600"/>
        <n v="301100"/>
        <n v="310600"/>
        <n v="320100"/>
        <n v="329600"/>
        <n v="339100"/>
        <n v="348600"/>
        <n v="358100"/>
        <n v="332100"/>
        <n v="331100"/>
        <n v="261100"/>
        <n v="176100"/>
        <n v="175100"/>
        <n v="174100"/>
        <n v="173100"/>
        <n v="171100"/>
        <n v="170100"/>
        <n v="100"/>
        <n v="250100"/>
        <n v="260100"/>
        <n v="270100"/>
        <n v="280100"/>
        <n v="289600"/>
        <n v="299100"/>
        <n v="308600"/>
        <n v="307600"/>
        <n v="306600"/>
        <n v="276600"/>
        <n v="228600"/>
        <n v="183600"/>
        <n v="182600"/>
        <n v="159600"/>
        <n v="149600"/>
        <n v="-400"/>
        <n v="249600"/>
        <n v="259600"/>
        <n v="269600"/>
        <n v="279600"/>
        <n v="289100"/>
        <n v="298600"/>
        <n v="308100"/>
        <n v="317600"/>
        <n v="327100"/>
        <n v="272100"/>
        <n v="77100"/>
        <n v="42100"/>
        <n v="41100"/>
        <n v="40100"/>
        <n v="249100"/>
        <n v="259100"/>
        <n v="269100"/>
        <n v="279100"/>
        <n v="288600"/>
        <n v="298100"/>
        <n v="317100"/>
        <n v="326600"/>
        <n v="336100"/>
        <n v="345600"/>
        <n v="195600"/>
        <n v="163600"/>
        <n v="128600"/>
        <n v="58600"/>
        <n v="48600"/>
        <n v="600"/>
        <n v="340600"/>
        <n v="350600"/>
        <n v="360600"/>
        <n v="370600"/>
        <n v="380600"/>
        <n v="390600"/>
        <n v="400600"/>
        <n v="355600"/>
        <n v="140600"/>
        <n v="97600"/>
        <n v="42600"/>
        <n v="7600"/>
        <n v="6600"/>
        <n v="5600"/>
        <n v="4600"/>
        <n v="3600"/>
        <n v="2600"/>
      </sharedItems>
    </cacheField>
    <cacheField name="Months" numFmtId="0" databaseField="0">
      <fieldGroup base="0">
        <rangePr groupBy="months" startDate="2017-01-02T00:00:00" endDate="2017-12-21T00:00:00"/>
        <groupItems count="14">
          <s v="&lt;02/01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x v="0"/>
    <n v="12546692"/>
    <x v="0"/>
    <x v="0"/>
    <x v="0"/>
  </r>
  <r>
    <x v="0"/>
    <n v="12546693"/>
    <x v="0"/>
    <x v="1"/>
    <x v="1"/>
  </r>
  <r>
    <x v="0"/>
    <n v="12546694"/>
    <x v="1"/>
    <x v="1"/>
    <x v="2"/>
  </r>
  <r>
    <x v="0"/>
    <n v="12546695"/>
    <x v="0"/>
    <x v="2"/>
    <x v="3"/>
  </r>
  <r>
    <x v="1"/>
    <n v="12546696"/>
    <x v="2"/>
    <x v="1"/>
    <x v="4"/>
  </r>
  <r>
    <x v="1"/>
    <n v="12546697"/>
    <x v="1"/>
    <x v="1"/>
    <x v="5"/>
  </r>
  <r>
    <x v="1"/>
    <n v="12546698"/>
    <x v="2"/>
    <x v="1"/>
    <x v="6"/>
  </r>
  <r>
    <x v="1"/>
    <n v="12546699"/>
    <x v="2"/>
    <x v="1"/>
    <x v="7"/>
  </r>
  <r>
    <x v="1"/>
    <n v="12546700"/>
    <x v="2"/>
    <x v="3"/>
    <x v="8"/>
  </r>
  <r>
    <x v="1"/>
    <n v="12546701"/>
    <x v="1"/>
    <x v="1"/>
    <x v="9"/>
  </r>
  <r>
    <x v="2"/>
    <n v="12546702"/>
    <x v="3"/>
    <x v="4"/>
    <x v="10"/>
  </r>
  <r>
    <x v="2"/>
    <n v="12546704"/>
    <x v="4"/>
    <x v="5"/>
    <x v="11"/>
  </r>
  <r>
    <x v="2"/>
    <n v="12546705"/>
    <x v="5"/>
    <x v="6"/>
    <x v="12"/>
  </r>
  <r>
    <x v="2"/>
    <n v="12546703"/>
    <x v="6"/>
    <x v="7"/>
    <x v="13"/>
  </r>
  <r>
    <x v="3"/>
    <n v="12546706"/>
    <x v="2"/>
    <x v="1"/>
    <x v="14"/>
  </r>
  <r>
    <x v="3"/>
    <n v="12546707"/>
    <x v="2"/>
    <x v="1"/>
    <x v="15"/>
  </r>
  <r>
    <x v="3"/>
    <n v="12546708"/>
    <x v="7"/>
    <x v="1"/>
    <x v="16"/>
  </r>
  <r>
    <x v="3"/>
    <n v="12546709"/>
    <x v="7"/>
    <x v="8"/>
    <x v="17"/>
  </r>
  <r>
    <x v="3"/>
    <n v="12546710"/>
    <x v="7"/>
    <x v="1"/>
    <x v="18"/>
  </r>
  <r>
    <x v="3"/>
    <n v="12546711"/>
    <x v="2"/>
    <x v="1"/>
    <x v="19"/>
  </r>
  <r>
    <x v="3"/>
    <n v="12546712"/>
    <x v="1"/>
    <x v="1"/>
    <x v="20"/>
  </r>
  <r>
    <x v="4"/>
    <n v="12546713"/>
    <x v="0"/>
    <x v="1"/>
    <x v="21"/>
  </r>
  <r>
    <x v="4"/>
    <n v="12546714"/>
    <x v="0"/>
    <x v="3"/>
    <x v="22"/>
  </r>
  <r>
    <x v="4"/>
    <n v="12546715"/>
    <x v="0"/>
    <x v="1"/>
    <x v="23"/>
  </r>
  <r>
    <x v="4"/>
    <n v="12546716"/>
    <x v="1"/>
    <x v="1"/>
    <x v="24"/>
  </r>
  <r>
    <x v="5"/>
    <n v="12546718"/>
    <x v="4"/>
    <x v="9"/>
    <x v="25"/>
  </r>
  <r>
    <x v="5"/>
    <n v="12546717"/>
    <x v="6"/>
    <x v="4"/>
    <x v="26"/>
  </r>
  <r>
    <x v="5"/>
    <n v="12546719"/>
    <x v="6"/>
    <x v="6"/>
    <x v="27"/>
  </r>
  <r>
    <x v="5"/>
    <n v="12546720"/>
    <x v="6"/>
    <x v="10"/>
    <x v="28"/>
  </r>
  <r>
    <x v="6"/>
    <n v="12546721"/>
    <x v="8"/>
    <x v="11"/>
    <x v="29"/>
  </r>
  <r>
    <x v="6"/>
    <n v="12546722"/>
    <x v="8"/>
    <x v="11"/>
    <x v="30"/>
  </r>
  <r>
    <x v="6"/>
    <n v="12546723"/>
    <x v="8"/>
    <x v="11"/>
    <x v="31"/>
  </r>
  <r>
    <x v="7"/>
    <n v="12546724"/>
    <x v="9"/>
    <x v="11"/>
    <x v="32"/>
  </r>
  <r>
    <x v="7"/>
    <n v="12546725"/>
    <x v="9"/>
    <x v="11"/>
    <x v="33"/>
  </r>
  <r>
    <x v="8"/>
    <n v="12546726"/>
    <x v="0"/>
    <x v="12"/>
    <x v="34"/>
  </r>
  <r>
    <x v="8"/>
    <n v="12546727"/>
    <x v="0"/>
    <x v="1"/>
    <x v="35"/>
  </r>
  <r>
    <x v="8"/>
    <n v="12546728"/>
    <x v="0"/>
    <x v="1"/>
    <x v="36"/>
  </r>
  <r>
    <x v="8"/>
    <n v="12546729"/>
    <x v="0"/>
    <x v="1"/>
    <x v="37"/>
  </r>
  <r>
    <x v="9"/>
    <n v="12546730"/>
    <x v="10"/>
    <x v="13"/>
    <x v="38"/>
  </r>
  <r>
    <x v="9"/>
    <n v="12546731"/>
    <x v="2"/>
    <x v="1"/>
    <x v="39"/>
  </r>
  <r>
    <x v="9"/>
    <n v="12546732"/>
    <x v="2"/>
    <x v="1"/>
    <x v="40"/>
  </r>
  <r>
    <x v="9"/>
    <n v="12546733"/>
    <x v="2"/>
    <x v="1"/>
    <x v="41"/>
  </r>
  <r>
    <x v="10"/>
    <n v="12546734"/>
    <x v="7"/>
    <x v="1"/>
    <x v="42"/>
  </r>
  <r>
    <x v="10"/>
    <n v="12546735"/>
    <x v="7"/>
    <x v="1"/>
    <x v="43"/>
  </r>
  <r>
    <x v="10"/>
    <n v="12546736"/>
    <x v="1"/>
    <x v="14"/>
    <x v="44"/>
  </r>
  <r>
    <x v="10"/>
    <n v="12546737"/>
    <x v="1"/>
    <x v="1"/>
    <x v="45"/>
  </r>
  <r>
    <x v="11"/>
    <n v="12546738"/>
    <x v="8"/>
    <x v="11"/>
    <x v="46"/>
  </r>
  <r>
    <x v="11"/>
    <n v="12546739"/>
    <x v="8"/>
    <x v="11"/>
    <x v="47"/>
  </r>
  <r>
    <x v="11"/>
    <n v="12546740"/>
    <x v="8"/>
    <x v="11"/>
    <x v="48"/>
  </r>
  <r>
    <x v="11"/>
    <n v="12546741"/>
    <x v="8"/>
    <x v="11"/>
    <x v="49"/>
  </r>
  <r>
    <x v="11"/>
    <n v="12546742"/>
    <x v="8"/>
    <x v="11"/>
    <x v="24"/>
  </r>
  <r>
    <x v="11"/>
    <n v="12546743"/>
    <x v="8"/>
    <x v="11"/>
    <x v="50"/>
  </r>
  <r>
    <x v="11"/>
    <n v="12546744"/>
    <x v="8"/>
    <x v="11"/>
    <x v="51"/>
  </r>
  <r>
    <x v="11"/>
    <n v="12546745"/>
    <x v="8"/>
    <x v="11"/>
    <x v="52"/>
  </r>
  <r>
    <x v="11"/>
    <n v="12546746"/>
    <x v="8"/>
    <x v="11"/>
    <x v="53"/>
  </r>
  <r>
    <x v="11"/>
    <n v="12546747"/>
    <x v="8"/>
    <x v="11"/>
    <x v="44"/>
  </r>
  <r>
    <x v="12"/>
    <n v="12546748"/>
    <x v="11"/>
    <x v="15"/>
    <x v="28"/>
  </r>
  <r>
    <x v="13"/>
    <n v="12546749"/>
    <x v="1"/>
    <x v="16"/>
    <x v="54"/>
  </r>
  <r>
    <x v="13"/>
    <n v="12546750"/>
    <x v="1"/>
    <x v="1"/>
    <x v="55"/>
  </r>
  <r>
    <x v="13"/>
    <n v="12546751"/>
    <x v="1"/>
    <x v="1"/>
    <x v="56"/>
  </r>
  <r>
    <x v="13"/>
    <n v="12546752"/>
    <x v="1"/>
    <x v="1"/>
    <x v="57"/>
  </r>
  <r>
    <x v="13"/>
    <n v="12546753"/>
    <x v="1"/>
    <x v="13"/>
    <x v="58"/>
  </r>
  <r>
    <x v="13"/>
    <n v="12546754"/>
    <x v="7"/>
    <x v="1"/>
    <x v="59"/>
  </r>
  <r>
    <x v="13"/>
    <n v="12546755"/>
    <x v="1"/>
    <x v="1"/>
    <x v="60"/>
  </r>
  <r>
    <x v="14"/>
    <n v="12546756"/>
    <x v="0"/>
    <x v="1"/>
    <x v="61"/>
  </r>
  <r>
    <x v="14"/>
    <n v="12546757"/>
    <x v="0"/>
    <x v="1"/>
    <x v="62"/>
  </r>
  <r>
    <x v="15"/>
    <n v="12546758"/>
    <x v="10"/>
    <x v="1"/>
    <x v="63"/>
  </r>
  <r>
    <x v="15"/>
    <n v="12546759"/>
    <x v="10"/>
    <x v="1"/>
    <x v="48"/>
  </r>
  <r>
    <x v="15"/>
    <n v="12546760"/>
    <x v="2"/>
    <x v="1"/>
    <x v="64"/>
  </r>
  <r>
    <x v="16"/>
    <n v="12546761"/>
    <x v="8"/>
    <x v="11"/>
    <x v="65"/>
  </r>
  <r>
    <x v="16"/>
    <n v="12546762"/>
    <x v="8"/>
    <x v="11"/>
    <x v="66"/>
  </r>
  <r>
    <x v="16"/>
    <s v="12546765"/>
    <x v="9"/>
    <x v="11"/>
    <x v="67"/>
  </r>
  <r>
    <x v="16"/>
    <s v="12546766"/>
    <x v="9"/>
    <x v="11"/>
    <x v="68"/>
  </r>
  <r>
    <x v="16"/>
    <n v="12546763"/>
    <x v="4"/>
    <x v="15"/>
    <x v="69"/>
  </r>
  <r>
    <x v="16"/>
    <n v="12546764"/>
    <x v="6"/>
    <x v="6"/>
    <x v="70"/>
  </r>
  <r>
    <x v="17"/>
    <s v="12546767"/>
    <x v="7"/>
    <x v="1"/>
    <x v="71"/>
  </r>
  <r>
    <x v="17"/>
    <s v="12546768"/>
    <x v="7"/>
    <x v="1"/>
    <x v="69"/>
  </r>
  <r>
    <x v="17"/>
    <s v="12546769"/>
    <x v="7"/>
    <x v="1"/>
    <x v="72"/>
  </r>
  <r>
    <x v="17"/>
    <s v="12546770"/>
    <x v="7"/>
    <x v="1"/>
    <x v="73"/>
  </r>
  <r>
    <x v="17"/>
    <s v="12546771"/>
    <x v="7"/>
    <x v="1"/>
    <x v="74"/>
  </r>
  <r>
    <x v="17"/>
    <s v="12546772"/>
    <x v="7"/>
    <x v="1"/>
    <x v="75"/>
  </r>
  <r>
    <x v="17"/>
    <s v="12546773"/>
    <x v="7"/>
    <x v="1"/>
    <x v="76"/>
  </r>
  <r>
    <x v="17"/>
    <s v="12546774"/>
    <x v="7"/>
    <x v="1"/>
    <x v="77"/>
  </r>
  <r>
    <x v="17"/>
    <s v="12546775"/>
    <x v="7"/>
    <x v="1"/>
    <x v="78"/>
  </r>
  <r>
    <x v="17"/>
    <s v="12546776"/>
    <x v="7"/>
    <x v="1"/>
    <x v="79"/>
  </r>
  <r>
    <x v="17"/>
    <s v="12546777"/>
    <x v="7"/>
    <x v="1"/>
    <x v="51"/>
  </r>
  <r>
    <x v="17"/>
    <s v="12546778"/>
    <x v="7"/>
    <x v="1"/>
    <x v="68"/>
  </r>
  <r>
    <x v="18"/>
    <s v="12546779"/>
    <x v="1"/>
    <x v="1"/>
    <x v="80"/>
  </r>
  <r>
    <x v="18"/>
    <s v="12546780"/>
    <x v="0"/>
    <x v="14"/>
    <x v="81"/>
  </r>
  <r>
    <x v="18"/>
    <s v="12546781"/>
    <x v="0"/>
    <x v="1"/>
    <x v="82"/>
  </r>
  <r>
    <x v="18"/>
    <s v="12546782"/>
    <x v="10"/>
    <x v="1"/>
    <x v="83"/>
  </r>
  <r>
    <x v="19"/>
    <s v="12546783"/>
    <x v="8"/>
    <x v="11"/>
    <x v="84"/>
  </r>
  <r>
    <x v="19"/>
    <s v="12546784"/>
    <x v="8"/>
    <x v="11"/>
    <x v="85"/>
  </r>
  <r>
    <x v="19"/>
    <s v="12546785"/>
    <x v="8"/>
    <x v="11"/>
    <x v="86"/>
  </r>
  <r>
    <x v="19"/>
    <s v="12546786"/>
    <x v="8"/>
    <x v="11"/>
    <x v="87"/>
  </r>
  <r>
    <x v="19"/>
    <s v="12546787"/>
    <x v="4"/>
    <x v="17"/>
    <x v="88"/>
  </r>
  <r>
    <x v="20"/>
    <s v="12546788"/>
    <x v="12"/>
    <x v="10"/>
    <x v="89"/>
  </r>
  <r>
    <x v="20"/>
    <s v="12546789"/>
    <x v="9"/>
    <x v="11"/>
    <x v="90"/>
  </r>
  <r>
    <x v="20"/>
    <s v="12546790"/>
    <x v="9"/>
    <x v="11"/>
    <x v="91"/>
  </r>
  <r>
    <x v="20"/>
    <s v="12546791"/>
    <x v="9"/>
    <x v="11"/>
    <x v="92"/>
  </r>
  <r>
    <x v="21"/>
    <s v="12546794"/>
    <x v="8"/>
    <x v="11"/>
    <x v="93"/>
  </r>
  <r>
    <x v="21"/>
    <s v="12546793"/>
    <x v="13"/>
    <x v="6"/>
    <x v="94"/>
  </r>
  <r>
    <x v="21"/>
    <s v="12546792"/>
    <x v="6"/>
    <x v="4"/>
    <x v="95"/>
  </r>
  <r>
    <x v="22"/>
    <s v="12546795"/>
    <x v="0"/>
    <x v="1"/>
    <x v="96"/>
  </r>
  <r>
    <x v="22"/>
    <s v="12546796"/>
    <x v="14"/>
    <x v="18"/>
    <x v="97"/>
  </r>
  <r>
    <x v="22"/>
    <s v="12546797"/>
    <x v="10"/>
    <x v="14"/>
    <x v="98"/>
  </r>
  <r>
    <x v="22"/>
    <s v="12546798"/>
    <x v="2"/>
    <x v="14"/>
    <x v="99"/>
  </r>
  <r>
    <x v="22"/>
    <s v="12546799"/>
    <x v="2"/>
    <x v="1"/>
    <x v="100"/>
  </r>
  <r>
    <x v="22"/>
    <s v="12546800"/>
    <x v="2"/>
    <x v="1"/>
    <x v="101"/>
  </r>
  <r>
    <x v="23"/>
    <s v="12546801"/>
    <x v="7"/>
    <x v="1"/>
    <x v="102"/>
  </r>
  <r>
    <x v="23"/>
    <s v="12546802"/>
    <x v="7"/>
    <x v="1"/>
    <x v="103"/>
  </r>
  <r>
    <x v="23"/>
    <s v="12546803"/>
    <x v="1"/>
    <x v="1"/>
    <x v="104"/>
  </r>
  <r>
    <x v="23"/>
    <s v="12546804"/>
    <x v="1"/>
    <x v="1"/>
    <x v="105"/>
  </r>
  <r>
    <x v="23"/>
    <s v="12546805"/>
    <x v="1"/>
    <x v="14"/>
    <x v="106"/>
  </r>
  <r>
    <x v="23"/>
    <s v="12546806"/>
    <x v="1"/>
    <x v="14"/>
    <x v="107"/>
  </r>
  <r>
    <x v="23"/>
    <s v="12546807"/>
    <x v="1"/>
    <x v="14"/>
    <x v="108"/>
  </r>
  <r>
    <x v="23"/>
    <s v="12546808"/>
    <x v="1"/>
    <x v="14"/>
    <x v="109"/>
  </r>
  <r>
    <x v="23"/>
    <s v="12546809"/>
    <x v="1"/>
    <x v="14"/>
    <x v="110"/>
  </r>
  <r>
    <x v="24"/>
    <s v="12546810"/>
    <x v="4"/>
    <x v="19"/>
    <x v="111"/>
  </r>
  <r>
    <x v="24"/>
    <s v="12546812"/>
    <x v="5"/>
    <x v="4"/>
    <x v="112"/>
  </r>
  <r>
    <x v="24"/>
    <s v="12546811"/>
    <x v="6"/>
    <x v="9"/>
    <x v="113"/>
  </r>
  <r>
    <x v="25"/>
    <s v="12546814"/>
    <x v="12"/>
    <x v="17"/>
    <x v="114"/>
  </r>
  <r>
    <x v="25"/>
    <s v="12546815"/>
    <x v="15"/>
    <x v="9"/>
    <x v="65"/>
  </r>
  <r>
    <x v="25"/>
    <s v="12546817"/>
    <x v="9"/>
    <x v="11"/>
    <x v="66"/>
  </r>
  <r>
    <x v="25"/>
    <s v="12546816"/>
    <x v="16"/>
    <x v="19"/>
    <x v="115"/>
  </r>
  <r>
    <x v="25"/>
    <s v="12546813"/>
    <x v="17"/>
    <x v="4"/>
    <x v="116"/>
  </r>
  <r>
    <x v="26"/>
    <s v="12546818"/>
    <x v="0"/>
    <x v="14"/>
    <x v="117"/>
  </r>
  <r>
    <x v="26"/>
    <s v="12546819"/>
    <x v="0"/>
    <x v="1"/>
    <x v="118"/>
  </r>
  <r>
    <x v="26"/>
    <s v="12546820"/>
    <x v="14"/>
    <x v="20"/>
    <x v="119"/>
  </r>
  <r>
    <x v="26"/>
    <s v="12546821"/>
    <x v="2"/>
    <x v="21"/>
    <x v="120"/>
  </r>
  <r>
    <x v="27"/>
    <s v="12546822"/>
    <x v="2"/>
    <x v="14"/>
    <x v="121"/>
  </r>
  <r>
    <x v="27"/>
    <s v="12546823"/>
    <x v="2"/>
    <x v="1"/>
    <x v="122"/>
  </r>
  <r>
    <x v="27"/>
    <s v="12546824"/>
    <x v="7"/>
    <x v="1"/>
    <x v="123"/>
  </r>
  <r>
    <x v="28"/>
    <s v="12546825"/>
    <x v="7"/>
    <x v="1"/>
    <x v="112"/>
  </r>
  <r>
    <x v="28"/>
    <s v="12546826"/>
    <x v="1"/>
    <x v="1"/>
    <x v="124"/>
  </r>
  <r>
    <x v="28"/>
    <s v="12546827"/>
    <x v="1"/>
    <x v="14"/>
    <x v="125"/>
  </r>
  <r>
    <x v="28"/>
    <s v="12546828"/>
    <x v="1"/>
    <x v="14"/>
    <x v="126"/>
  </r>
  <r>
    <x v="28"/>
    <s v="12546829"/>
    <x v="1"/>
    <x v="14"/>
    <x v="127"/>
  </r>
  <r>
    <x v="28"/>
    <s v="12546830"/>
    <x v="1"/>
    <x v="1"/>
    <x v="128"/>
  </r>
  <r>
    <x v="29"/>
    <s v="12546831"/>
    <x v="4"/>
    <x v="17"/>
    <x v="129"/>
  </r>
  <r>
    <x v="29"/>
    <s v="12546834"/>
    <x v="17"/>
    <x v="4"/>
    <x v="130"/>
  </r>
  <r>
    <x v="29"/>
    <s v="12546833"/>
    <x v="5"/>
    <x v="17"/>
    <x v="131"/>
  </r>
  <r>
    <x v="29"/>
    <s v="12546832"/>
    <x v="6"/>
    <x v="22"/>
    <x v="132"/>
  </r>
  <r>
    <x v="30"/>
    <s v="12546835"/>
    <x v="12"/>
    <x v="6"/>
    <x v="133"/>
  </r>
  <r>
    <x v="30"/>
    <s v="12546836"/>
    <x v="15"/>
    <x v="23"/>
    <x v="134"/>
  </r>
  <r>
    <x v="30"/>
    <s v="12546838"/>
    <x v="9"/>
    <x v="11"/>
    <x v="135"/>
  </r>
  <r>
    <x v="30"/>
    <s v="12546839"/>
    <x v="9"/>
    <x v="11"/>
    <x v="89"/>
  </r>
  <r>
    <x v="30"/>
    <s v="12546837"/>
    <x v="16"/>
    <x v="15"/>
    <x v="136"/>
  </r>
  <r>
    <x v="31"/>
    <s v="12546840"/>
    <x v="9"/>
    <x v="11"/>
    <x v="137"/>
  </r>
  <r>
    <x v="31"/>
    <s v="12546841"/>
    <x v="9"/>
    <x v="11"/>
    <x v="138"/>
  </r>
  <r>
    <x v="31"/>
    <s v="12546842"/>
    <x v="9"/>
    <x v="11"/>
    <x v="139"/>
  </r>
  <r>
    <x v="32"/>
    <s v="12546843"/>
    <x v="14"/>
    <x v="24"/>
    <x v="140"/>
  </r>
  <r>
    <x v="32"/>
    <s v="12546844"/>
    <x v="0"/>
    <x v="1"/>
    <x v="125"/>
  </r>
  <r>
    <x v="32"/>
    <s v="12546845"/>
    <x v="10"/>
    <x v="1"/>
    <x v="141"/>
  </r>
  <r>
    <x v="32"/>
    <s v="12546846"/>
    <x v="2"/>
    <x v="1"/>
    <x v="142"/>
  </r>
  <r>
    <x v="33"/>
    <s v="12546847"/>
    <x v="2"/>
    <x v="14"/>
    <x v="143"/>
  </r>
  <r>
    <x v="33"/>
    <s v="12546848"/>
    <x v="2"/>
    <x v="14"/>
    <x v="144"/>
  </r>
  <r>
    <x v="33"/>
    <s v="12546849"/>
    <x v="7"/>
    <x v="14"/>
    <x v="145"/>
  </r>
  <r>
    <x v="33"/>
    <s v="12546850"/>
    <x v="7"/>
    <x v="14"/>
    <x v="146"/>
  </r>
  <r>
    <x v="33"/>
    <s v="12546851"/>
    <x v="1"/>
    <x v="14"/>
    <x v="147"/>
  </r>
  <r>
    <x v="33"/>
    <s v="12546852"/>
    <x v="1"/>
    <x v="14"/>
    <x v="148"/>
  </r>
  <r>
    <x v="33"/>
    <s v="12546853"/>
    <x v="1"/>
    <x v="14"/>
    <x v="149"/>
  </r>
  <r>
    <x v="34"/>
    <s v="12546858"/>
    <x v="15"/>
    <x v="4"/>
    <x v="108"/>
  </r>
  <r>
    <x v="34"/>
    <s v="12546854"/>
    <x v="8"/>
    <x v="11"/>
    <x v="150"/>
  </r>
  <r>
    <x v="34"/>
    <s v="12546855"/>
    <x v="8"/>
    <x v="11"/>
    <x v="151"/>
  </r>
  <r>
    <x v="34"/>
    <s v="12546856"/>
    <x v="4"/>
    <x v="25"/>
    <x v="152"/>
  </r>
  <r>
    <x v="34"/>
    <s v="12546857"/>
    <x v="6"/>
    <x v="26"/>
    <x v="153"/>
  </r>
  <r>
    <x v="35"/>
    <s v="12546860"/>
    <x v="9"/>
    <x v="11"/>
    <x v="154"/>
  </r>
  <r>
    <x v="35"/>
    <s v="12546861"/>
    <x v="9"/>
    <x v="11"/>
    <x v="155"/>
  </r>
  <r>
    <x v="35"/>
    <s v="12546862"/>
    <x v="9"/>
    <x v="11"/>
    <x v="156"/>
  </r>
  <r>
    <x v="35"/>
    <s v="12546863"/>
    <x v="9"/>
    <x v="11"/>
    <x v="114"/>
  </r>
  <r>
    <x v="35"/>
    <s v="12546864"/>
    <x v="9"/>
    <x v="11"/>
    <x v="157"/>
  </r>
  <r>
    <x v="35"/>
    <s v="12546865"/>
    <x v="9"/>
    <x v="11"/>
    <x v="158"/>
  </r>
  <r>
    <x v="35"/>
    <s v="12546859"/>
    <x v="16"/>
    <x v="27"/>
    <x v="159"/>
  </r>
  <r>
    <x v="36"/>
    <s v="12546866"/>
    <x v="14"/>
    <x v="24"/>
    <x v="160"/>
  </r>
  <r>
    <x v="36"/>
    <s v="12546867"/>
    <x v="0"/>
    <x v="1"/>
    <x v="161"/>
  </r>
  <r>
    <x v="36"/>
    <s v="12546868"/>
    <x v="10"/>
    <x v="1"/>
    <x v="162"/>
  </r>
  <r>
    <x v="36"/>
    <s v="12546869"/>
    <x v="2"/>
    <x v="1"/>
    <x v="163"/>
  </r>
  <r>
    <x v="37"/>
    <s v="12546870"/>
    <x v="2"/>
    <x v="14"/>
    <x v="164"/>
  </r>
  <r>
    <x v="37"/>
    <s v="12546871"/>
    <x v="2"/>
    <x v="14"/>
    <x v="165"/>
  </r>
  <r>
    <x v="37"/>
    <s v="12546872"/>
    <x v="7"/>
    <x v="14"/>
    <x v="166"/>
  </r>
  <r>
    <x v="38"/>
    <s v="12546873"/>
    <x v="8"/>
    <x v="11"/>
    <x v="167"/>
  </r>
  <r>
    <x v="38"/>
    <s v="12546874"/>
    <x v="8"/>
    <x v="11"/>
    <x v="168"/>
  </r>
  <r>
    <x v="38"/>
    <s v="12546875"/>
    <x v="4"/>
    <x v="17"/>
    <x v="169"/>
  </r>
  <r>
    <x v="38"/>
    <s v="12546876"/>
    <x v="6"/>
    <x v="28"/>
    <x v="170"/>
  </r>
  <r>
    <x v="39"/>
    <s v="12546877"/>
    <x v="15"/>
    <x v="29"/>
    <x v="171"/>
  </r>
  <r>
    <x v="39"/>
    <s v="12546879"/>
    <x v="9"/>
    <x v="11"/>
    <x v="172"/>
  </r>
  <r>
    <x v="39"/>
    <s v="12546880"/>
    <x v="9"/>
    <x v="30"/>
    <x v="173"/>
  </r>
  <r>
    <x v="39"/>
    <s v="12546881"/>
    <x v="9"/>
    <x v="10"/>
    <x v="174"/>
  </r>
  <r>
    <x v="39"/>
    <s v="12546878"/>
    <x v="16"/>
    <x v="31"/>
    <x v="175"/>
  </r>
  <r>
    <x v="40"/>
    <s v="12546882"/>
    <x v="14"/>
    <x v="24"/>
    <x v="176"/>
  </r>
  <r>
    <x v="40"/>
    <s v="12546883"/>
    <x v="0"/>
    <x v="1"/>
    <x v="177"/>
  </r>
  <r>
    <x v="40"/>
    <s v="12546884"/>
    <x v="10"/>
    <x v="1"/>
    <x v="178"/>
  </r>
  <r>
    <x v="40"/>
    <s v="12546885"/>
    <x v="2"/>
    <x v="1"/>
    <x v="179"/>
  </r>
  <r>
    <x v="41"/>
    <s v="12546886"/>
    <x v="2"/>
    <x v="14"/>
    <x v="180"/>
  </r>
  <r>
    <x v="41"/>
    <s v="12546887"/>
    <x v="2"/>
    <x v="14"/>
    <x v="181"/>
  </r>
  <r>
    <x v="41"/>
    <s v="12546888"/>
    <x v="7"/>
    <x v="14"/>
    <x v="182"/>
  </r>
  <r>
    <x v="41"/>
    <s v="12546889"/>
    <x v="7"/>
    <x v="14"/>
    <x v="183"/>
  </r>
  <r>
    <x v="41"/>
    <s v="12546890"/>
    <x v="1"/>
    <x v="14"/>
    <x v="184"/>
  </r>
  <r>
    <x v="42"/>
    <s v="12546892"/>
    <x v="15"/>
    <x v="23"/>
    <x v="185"/>
  </r>
  <r>
    <x v="42"/>
    <s v="12546891"/>
    <x v="16"/>
    <x v="32"/>
    <x v="186"/>
  </r>
  <r>
    <x v="42"/>
    <s v="12546893"/>
    <x v="4"/>
    <x v="33"/>
    <x v="187"/>
  </r>
  <r>
    <x v="43"/>
    <s v="12546895"/>
    <x v="9"/>
    <x v="11"/>
    <x v="188"/>
  </r>
  <r>
    <x v="43"/>
    <s v="12546896"/>
    <x v="9"/>
    <x v="11"/>
    <x v="189"/>
  </r>
  <r>
    <x v="43"/>
    <s v="12546897"/>
    <x v="9"/>
    <x v="11"/>
    <x v="73"/>
  </r>
  <r>
    <x v="43"/>
    <s v="12546894"/>
    <x v="6"/>
    <x v="5"/>
    <x v="70"/>
  </r>
  <r>
    <x v="44"/>
    <s v="12546898"/>
    <x v="14"/>
    <x v="24"/>
    <x v="190"/>
  </r>
  <r>
    <x v="44"/>
    <s v="12546899"/>
    <x v="0"/>
    <x v="1"/>
    <x v="191"/>
  </r>
  <r>
    <x v="44"/>
    <s v="12546900"/>
    <x v="10"/>
    <x v="1"/>
    <x v="192"/>
  </r>
  <r>
    <x v="44"/>
    <s v="12546901"/>
    <x v="2"/>
    <x v="1"/>
    <x v="193"/>
  </r>
  <r>
    <x v="44"/>
    <s v="12546902"/>
    <x v="2"/>
    <x v="14"/>
    <x v="194"/>
  </r>
  <r>
    <x v="45"/>
    <s v="12546903"/>
    <x v="2"/>
    <x v="14"/>
    <x v="195"/>
  </r>
  <r>
    <x v="45"/>
    <s v="12546904"/>
    <x v="7"/>
    <x v="14"/>
    <x v="167"/>
  </r>
  <r>
    <x v="45"/>
    <s v="12546905"/>
    <x v="7"/>
    <x v="14"/>
    <x v="196"/>
  </r>
  <r>
    <x v="45"/>
    <s v="12546906"/>
    <x v="1"/>
    <x v="14"/>
    <x v="197"/>
  </r>
  <r>
    <x v="45"/>
    <s v="12546907"/>
    <x v="1"/>
    <x v="14"/>
    <x v="198"/>
  </r>
  <r>
    <x v="45"/>
    <s v="12546908"/>
    <x v="1"/>
    <x v="14"/>
    <x v="199"/>
  </r>
  <r>
    <x v="46"/>
    <s v="12546910"/>
    <x v="16"/>
    <x v="31"/>
    <x v="200"/>
  </r>
  <r>
    <x v="46"/>
    <s v="12546911"/>
    <x v="4"/>
    <x v="34"/>
    <x v="201"/>
  </r>
  <r>
    <x v="46"/>
    <s v="12546909"/>
    <x v="17"/>
    <x v="33"/>
    <x v="202"/>
  </r>
  <r>
    <x v="47"/>
    <s v="12546915"/>
    <x v="12"/>
    <x v="25"/>
    <x v="203"/>
  </r>
  <r>
    <x v="47"/>
    <s v="12546913"/>
    <x v="9"/>
    <x v="10"/>
    <x v="204"/>
  </r>
  <r>
    <x v="47"/>
    <s v="12546914"/>
    <x v="9"/>
    <x v="10"/>
    <x v="37"/>
  </r>
  <r>
    <x v="47"/>
    <s v="12546912"/>
    <x v="6"/>
    <x v="35"/>
    <x v="205"/>
  </r>
  <r>
    <x v="48"/>
    <s v="12546916"/>
    <x v="14"/>
    <x v="36"/>
    <x v="206"/>
  </r>
  <r>
    <x v="48"/>
    <s v="12546917"/>
    <x v="0"/>
    <x v="1"/>
    <x v="207"/>
  </r>
  <r>
    <x v="48"/>
    <s v="12546918"/>
    <x v="10"/>
    <x v="1"/>
    <x v="208"/>
  </r>
  <r>
    <x v="48"/>
    <s v="12546919"/>
    <x v="2"/>
    <x v="1"/>
    <x v="209"/>
  </r>
  <r>
    <x v="49"/>
    <s v="12546920"/>
    <x v="2"/>
    <x v="1"/>
    <x v="210"/>
  </r>
  <r>
    <x v="49"/>
    <s v="12546921"/>
    <x v="2"/>
    <x v="1"/>
    <x v="211"/>
  </r>
  <r>
    <x v="49"/>
    <s v="12546922"/>
    <x v="7"/>
    <x v="1"/>
    <x v="212"/>
  </r>
  <r>
    <x v="50"/>
    <s v="12546926"/>
    <x v="12"/>
    <x v="29"/>
    <x v="213"/>
  </r>
  <r>
    <x v="50"/>
    <s v="12546924"/>
    <x v="16"/>
    <x v="37"/>
    <x v="214"/>
  </r>
  <r>
    <x v="50"/>
    <s v="12546925"/>
    <x v="4"/>
    <x v="38"/>
    <x v="215"/>
  </r>
  <r>
    <x v="50"/>
    <s v="12546923"/>
    <x v="17"/>
    <x v="23"/>
    <x v="216"/>
  </r>
  <r>
    <x v="51"/>
    <s v="12546927"/>
    <x v="15"/>
    <x v="33"/>
    <x v="217"/>
  </r>
  <r>
    <x v="51"/>
    <s v="12546928"/>
    <x v="9"/>
    <x v="11"/>
    <x v="218"/>
  </r>
  <r>
    <x v="51"/>
    <s v="12546929"/>
    <x v="9"/>
    <x v="11"/>
    <x v="219"/>
  </r>
  <r>
    <x v="51"/>
    <s v="12546930"/>
    <x v="9"/>
    <x v="11"/>
    <x v="220"/>
  </r>
  <r>
    <x v="51"/>
    <s v="12546931"/>
    <x v="9"/>
    <x v="11"/>
    <x v="221"/>
  </r>
  <r>
    <x v="52"/>
    <s v="12546932"/>
    <x v="9"/>
    <x v="11"/>
    <x v="2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D391B-542E-BE45-97A2-37ECC00588EC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181" firstHeaderRow="1" firstDataRow="1" firstDataCol="1" rowPageCount="1" colPageCount="1"/>
  <pivotFields count="6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Page" showAll="0">
      <items count="19">
        <item x="7"/>
        <item x="2"/>
        <item x="1"/>
        <item x="10"/>
        <item x="0"/>
        <item x="12"/>
        <item x="15"/>
        <item x="8"/>
        <item x="9"/>
        <item x="14"/>
        <item x="13"/>
        <item x="16"/>
        <item x="3"/>
        <item x="11"/>
        <item x="4"/>
        <item x="17"/>
        <item x="5"/>
        <item x="6"/>
        <item t="default"/>
      </items>
    </pivotField>
    <pivotField axis="axisRow" numFmtId="2" showAll="0">
      <items count="40">
        <item sd="0" x="37"/>
        <item sd="0" x="32"/>
        <item sd="0" x="27"/>
        <item sd="0" x="31"/>
        <item sd="0" x="15"/>
        <item sd="0" x="26"/>
        <item sd="0" x="19"/>
        <item sd="0" x="25"/>
        <item sd="0" x="23"/>
        <item sd="0" x="9"/>
        <item sd="0" x="28"/>
        <item sd="0" x="29"/>
        <item sd="0" x="38"/>
        <item sd="0" x="5"/>
        <item sd="0" x="35"/>
        <item sd="0" x="33"/>
        <item sd="0" x="34"/>
        <item sd="0" x="17"/>
        <item sd="0" x="4"/>
        <item sd="0" x="22"/>
        <item sd="0" x="30"/>
        <item sd="0" x="6"/>
        <item sd="0" x="7"/>
        <item sd="0" x="10"/>
        <item sd="0" x="11"/>
        <item sd="0" x="12"/>
        <item sd="0" x="13"/>
        <item sd="0" x="8"/>
        <item sd="0" x="16"/>
        <item sd="0" x="14"/>
        <item sd="0" x="2"/>
        <item sd="0" x="0"/>
        <item x="3"/>
        <item sd="0" x="1"/>
        <item sd="0" x="21"/>
        <item sd="0" x="18"/>
        <item sd="0" x="20"/>
        <item sd="0" x="24"/>
        <item sd="0" x="36"/>
        <item t="default" sd="0"/>
      </items>
    </pivotField>
    <pivotField axis="axisRow" numFmtId="2" showAll="0">
      <items count="224">
        <item x="70"/>
        <item x="175"/>
        <item x="159"/>
        <item x="205"/>
        <item x="33"/>
        <item x="32"/>
        <item x="13"/>
        <item x="222"/>
        <item x="31"/>
        <item x="221"/>
        <item x="30"/>
        <item x="220"/>
        <item x="29"/>
        <item x="219"/>
        <item x="28"/>
        <item x="218"/>
        <item x="217"/>
        <item x="34"/>
        <item x="71"/>
        <item x="0"/>
        <item x="139"/>
        <item x="14"/>
        <item x="138"/>
        <item x="137"/>
        <item x="12"/>
        <item x="136"/>
        <item x="54"/>
        <item x="27"/>
        <item x="35"/>
        <item x="69"/>
        <item x="1"/>
        <item x="116"/>
        <item x="15"/>
        <item x="55"/>
        <item x="36"/>
        <item x="72"/>
        <item x="2"/>
        <item x="117"/>
        <item x="16"/>
        <item x="11"/>
        <item x="56"/>
        <item x="26"/>
        <item x="37"/>
        <item x="73"/>
        <item x="3"/>
        <item x="189"/>
        <item x="118"/>
        <item x="188"/>
        <item x="17"/>
        <item x="187"/>
        <item x="216"/>
        <item x="57"/>
        <item x="115"/>
        <item x="38"/>
        <item x="204"/>
        <item x="74"/>
        <item x="4"/>
        <item x="18"/>
        <item x="58"/>
        <item x="39"/>
        <item x="203"/>
        <item x="75"/>
        <item x="5"/>
        <item x="25"/>
        <item x="19"/>
        <item x="59"/>
        <item x="95"/>
        <item x="40"/>
        <item x="76"/>
        <item x="6"/>
        <item x="20"/>
        <item x="60"/>
        <item x="10"/>
        <item x="96"/>
        <item x="41"/>
        <item x="186"/>
        <item x="77"/>
        <item x="7"/>
        <item x="21"/>
        <item x="61"/>
        <item x="42"/>
        <item x="78"/>
        <item x="8"/>
        <item x="94"/>
        <item x="22"/>
        <item x="62"/>
        <item x="43"/>
        <item x="215"/>
        <item x="79"/>
        <item x="9"/>
        <item x="23"/>
        <item x="63"/>
        <item x="44"/>
        <item x="53"/>
        <item x="52"/>
        <item x="51"/>
        <item x="50"/>
        <item x="93"/>
        <item x="24"/>
        <item x="92"/>
        <item x="49"/>
        <item x="91"/>
        <item x="48"/>
        <item x="90"/>
        <item x="47"/>
        <item x="89"/>
        <item x="46"/>
        <item x="135"/>
        <item x="45"/>
        <item x="134"/>
        <item x="68"/>
        <item x="67"/>
        <item x="66"/>
        <item x="65"/>
        <item x="64"/>
        <item x="88"/>
        <item x="202"/>
        <item x="80"/>
        <item x="81"/>
        <item x="214"/>
        <item x="82"/>
        <item x="174"/>
        <item x="87"/>
        <item x="86"/>
        <item x="85"/>
        <item x="84"/>
        <item x="83"/>
        <item x="173"/>
        <item x="201"/>
        <item x="158"/>
        <item x="157"/>
        <item x="133"/>
        <item x="114"/>
        <item x="156"/>
        <item x="155"/>
        <item x="154"/>
        <item x="153"/>
        <item x="172"/>
        <item x="171"/>
        <item x="132"/>
        <item x="200"/>
        <item x="119"/>
        <item x="113"/>
        <item x="120"/>
        <item x="131"/>
        <item x="121"/>
        <item x="97"/>
        <item x="170"/>
        <item x="122"/>
        <item x="98"/>
        <item x="123"/>
        <item x="99"/>
        <item x="130"/>
        <item x="190"/>
        <item x="176"/>
        <item x="160"/>
        <item x="112"/>
        <item x="100"/>
        <item x="191"/>
        <item x="177"/>
        <item x="161"/>
        <item x="152"/>
        <item x="140"/>
        <item x="124"/>
        <item x="101"/>
        <item x="192"/>
        <item x="178"/>
        <item x="162"/>
        <item x="129"/>
        <item x="125"/>
        <item x="185"/>
        <item x="102"/>
        <item x="169"/>
        <item x="111"/>
        <item x="193"/>
        <item x="179"/>
        <item x="163"/>
        <item x="126"/>
        <item x="141"/>
        <item x="103"/>
        <item x="194"/>
        <item x="180"/>
        <item x="164"/>
        <item x="127"/>
        <item x="142"/>
        <item x="104"/>
        <item x="195"/>
        <item x="181"/>
        <item x="165"/>
        <item x="128"/>
        <item x="143"/>
        <item x="105"/>
        <item x="168"/>
        <item x="167"/>
        <item x="182"/>
        <item x="166"/>
        <item x="144"/>
        <item x="106"/>
        <item x="196"/>
        <item x="183"/>
        <item x="145"/>
        <item x="107"/>
        <item x="197"/>
        <item x="184"/>
        <item x="146"/>
        <item x="151"/>
        <item x="150"/>
        <item x="108"/>
        <item x="198"/>
        <item x="147"/>
        <item x="206"/>
        <item x="109"/>
        <item x="199"/>
        <item x="148"/>
        <item x="207"/>
        <item x="110"/>
        <item x="213"/>
        <item x="149"/>
        <item x="208"/>
        <item x="209"/>
        <item x="210"/>
        <item x="211"/>
        <item x="2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0"/>
    <field x="3"/>
    <field x="4"/>
  </rowFields>
  <rowItems count="178">
    <i>
      <x v="2"/>
    </i>
    <i r="1">
      <x v="30"/>
    </i>
    <i r="1">
      <x v="31"/>
    </i>
    <i r="1">
      <x v="33"/>
    </i>
    <i>
      <x v="3"/>
    </i>
    <i r="1">
      <x v="32"/>
    </i>
    <i r="2">
      <x v="82"/>
    </i>
    <i r="1">
      <x v="33"/>
    </i>
    <i>
      <x v="4"/>
    </i>
    <i r="1">
      <x v="13"/>
    </i>
    <i r="1">
      <x v="18"/>
    </i>
    <i r="1">
      <x v="21"/>
    </i>
    <i r="1">
      <x v="22"/>
    </i>
    <i>
      <x v="33"/>
    </i>
    <i r="1">
      <x v="27"/>
    </i>
    <i r="1">
      <x v="33"/>
    </i>
    <i>
      <x v="37"/>
    </i>
    <i r="1">
      <x v="32"/>
    </i>
    <i r="2">
      <x v="84"/>
    </i>
    <i r="1">
      <x v="33"/>
    </i>
    <i>
      <x v="38"/>
    </i>
    <i r="1">
      <x v="9"/>
    </i>
    <i r="1">
      <x v="18"/>
    </i>
    <i r="1">
      <x v="21"/>
    </i>
    <i r="1">
      <x v="23"/>
    </i>
    <i>
      <x v="39"/>
    </i>
    <i r="1">
      <x v="24"/>
    </i>
    <i>
      <x v="40"/>
    </i>
    <i r="1">
      <x v="24"/>
    </i>
    <i>
      <x v="62"/>
    </i>
    <i r="1">
      <x v="25"/>
    </i>
    <i r="1">
      <x v="33"/>
    </i>
    <i>
      <x v="63"/>
    </i>
    <i r="1">
      <x v="26"/>
    </i>
    <i r="1">
      <x v="33"/>
    </i>
    <i>
      <x v="66"/>
    </i>
    <i r="1">
      <x v="29"/>
    </i>
    <i r="1">
      <x v="33"/>
    </i>
    <i>
      <x v="67"/>
    </i>
    <i r="1">
      <x v="24"/>
    </i>
    <i>
      <x v="68"/>
    </i>
    <i r="1">
      <x v="4"/>
    </i>
    <i>
      <x v="94"/>
    </i>
    <i r="1">
      <x v="26"/>
    </i>
    <i r="1">
      <x v="28"/>
    </i>
    <i r="1">
      <x v="33"/>
    </i>
    <i>
      <x v="95"/>
    </i>
    <i r="1">
      <x v="33"/>
    </i>
    <i>
      <x v="97"/>
    </i>
    <i r="1">
      <x v="33"/>
    </i>
    <i>
      <x v="98"/>
    </i>
    <i r="1">
      <x v="4"/>
    </i>
    <i r="1">
      <x v="21"/>
    </i>
    <i r="1">
      <x v="24"/>
    </i>
    <i>
      <x v="122"/>
    </i>
    <i r="1">
      <x v="33"/>
    </i>
    <i>
      <x v="125"/>
    </i>
    <i r="1">
      <x v="29"/>
    </i>
    <i r="1">
      <x v="33"/>
    </i>
    <i>
      <x v="131"/>
    </i>
    <i r="1">
      <x v="17"/>
    </i>
    <i r="1">
      <x v="24"/>
    </i>
    <i>
      <x v="133"/>
    </i>
    <i r="1">
      <x v="23"/>
    </i>
    <i r="1">
      <x v="24"/>
    </i>
    <i>
      <x v="134"/>
    </i>
    <i r="1">
      <x v="18"/>
    </i>
    <i r="1">
      <x v="21"/>
    </i>
    <i r="1">
      <x v="24"/>
    </i>
    <i>
      <x v="156"/>
    </i>
    <i r="1">
      <x v="29"/>
    </i>
    <i r="1">
      <x v="33"/>
    </i>
    <i r="1">
      <x v="35"/>
    </i>
    <i>
      <x v="158"/>
    </i>
    <i r="1">
      <x v="29"/>
    </i>
    <i r="1">
      <x v="33"/>
    </i>
    <i>
      <x v="164"/>
    </i>
    <i r="1">
      <x v="6"/>
    </i>
    <i r="1">
      <x v="9"/>
    </i>
    <i r="1">
      <x v="18"/>
    </i>
    <i>
      <x v="166"/>
    </i>
    <i r="1">
      <x v="6"/>
    </i>
    <i r="1">
      <x v="9"/>
    </i>
    <i r="1">
      <x v="17"/>
    </i>
    <i r="1">
      <x v="18"/>
    </i>
    <i r="1">
      <x v="24"/>
    </i>
    <i>
      <x v="185"/>
    </i>
    <i r="1">
      <x v="29"/>
    </i>
    <i r="1">
      <x v="33"/>
    </i>
    <i r="1">
      <x v="34"/>
    </i>
    <i r="1">
      <x v="36"/>
    </i>
    <i>
      <x v="187"/>
    </i>
    <i r="1">
      <x v="29"/>
    </i>
    <i r="1">
      <x v="33"/>
    </i>
    <i>
      <x v="189"/>
    </i>
    <i r="1">
      <x v="29"/>
    </i>
    <i r="1">
      <x v="33"/>
    </i>
    <i>
      <x v="192"/>
    </i>
    <i r="1">
      <x v="17"/>
    </i>
    <i r="1">
      <x v="18"/>
    </i>
    <i r="1">
      <x v="19"/>
    </i>
    <i>
      <x v="194"/>
    </i>
    <i r="1">
      <x v="4"/>
    </i>
    <i r="1">
      <x v="8"/>
    </i>
    <i r="1">
      <x v="21"/>
    </i>
    <i r="1">
      <x v="24"/>
    </i>
    <i>
      <x v="196"/>
    </i>
    <i r="1">
      <x v="24"/>
    </i>
    <i>
      <x v="214"/>
    </i>
    <i r="1">
      <x v="33"/>
    </i>
    <i r="1">
      <x v="37"/>
    </i>
    <i>
      <x v="218"/>
    </i>
    <i r="1">
      <x v="29"/>
    </i>
    <i>
      <x v="224"/>
    </i>
    <i r="1">
      <x v="5"/>
    </i>
    <i r="1">
      <x v="7"/>
    </i>
    <i r="1">
      <x v="18"/>
    </i>
    <i r="1">
      <x v="24"/>
    </i>
    <i>
      <x v="226"/>
    </i>
    <i r="1">
      <x v="2"/>
    </i>
    <i r="1">
      <x v="24"/>
    </i>
    <i>
      <x v="247"/>
    </i>
    <i r="1">
      <x v="33"/>
    </i>
    <i r="1">
      <x v="37"/>
    </i>
    <i>
      <x v="248"/>
    </i>
    <i r="1">
      <x v="29"/>
    </i>
    <i>
      <x v="254"/>
    </i>
    <i r="1">
      <x v="10"/>
    </i>
    <i r="1">
      <x v="17"/>
    </i>
    <i r="1">
      <x v="24"/>
    </i>
    <i>
      <x v="256"/>
    </i>
    <i r="1">
      <x v="3"/>
    </i>
    <i r="1">
      <x v="11"/>
    </i>
    <i r="1">
      <x v="20"/>
    </i>
    <i r="1">
      <x v="23"/>
    </i>
    <i r="1">
      <x v="24"/>
    </i>
    <i>
      <x v="278"/>
    </i>
    <i r="1">
      <x v="33"/>
    </i>
    <i r="1">
      <x v="37"/>
    </i>
    <i>
      <x v="281"/>
    </i>
    <i r="1">
      <x v="29"/>
    </i>
    <i>
      <x v="284"/>
    </i>
    <i r="1">
      <x v="1"/>
    </i>
    <i r="1">
      <x v="8"/>
    </i>
    <i r="1">
      <x v="15"/>
    </i>
    <i>
      <x v="289"/>
    </i>
    <i r="1">
      <x v="13"/>
    </i>
    <i r="1">
      <x v="24"/>
    </i>
    <i>
      <x v="309"/>
    </i>
    <i r="1">
      <x v="29"/>
    </i>
    <i r="1">
      <x v="33"/>
    </i>
    <i r="1">
      <x v="37"/>
    </i>
    <i>
      <x v="311"/>
    </i>
    <i r="1">
      <x v="29"/>
    </i>
    <i>
      <x v="316"/>
    </i>
    <i r="1">
      <x v="3"/>
    </i>
    <i r="1">
      <x v="15"/>
    </i>
    <i r="1">
      <x v="16"/>
    </i>
    <i>
      <x v="317"/>
    </i>
    <i r="1">
      <x v="7"/>
    </i>
    <i r="1">
      <x v="14"/>
    </i>
    <i r="1">
      <x v="23"/>
    </i>
    <i>
      <x v="337"/>
    </i>
    <i r="1">
      <x v="33"/>
    </i>
    <i r="1">
      <x v="38"/>
    </i>
    <i>
      <x v="338"/>
    </i>
    <i r="1">
      <x v="33"/>
    </i>
    <i>
      <x v="347"/>
    </i>
    <i r="1">
      <x/>
    </i>
    <i r="1">
      <x v="8"/>
    </i>
    <i r="1">
      <x v="11"/>
    </i>
    <i r="1">
      <x v="12"/>
    </i>
    <i>
      <x v="352"/>
    </i>
    <i r="1">
      <x v="15"/>
    </i>
    <i r="1">
      <x v="24"/>
    </i>
    <i>
      <x v="355"/>
    </i>
    <i r="1">
      <x v="24"/>
    </i>
    <i t="grand">
      <x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statement exercise for pivot and filter1_1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7"/>
  <sheetViews>
    <sheetView workbookViewId="0"/>
  </sheetViews>
  <sheetFormatPr baseColWidth="10" defaultColWidth="8.83203125" defaultRowHeight="15" x14ac:dyDescent="0.2"/>
  <sheetData>
    <row r="2" spans="1:3" ht="19" x14ac:dyDescent="0.25">
      <c r="C2" s="14" t="s">
        <v>205</v>
      </c>
    </row>
    <row r="4" spans="1:3" ht="16" x14ac:dyDescent="0.2">
      <c r="A4" s="26" t="s">
        <v>217</v>
      </c>
    </row>
    <row r="5" spans="1:3" ht="16" x14ac:dyDescent="0.2">
      <c r="A5" s="15"/>
    </row>
    <row r="6" spans="1:3" ht="16" x14ac:dyDescent="0.2">
      <c r="A6" s="16" t="s">
        <v>191</v>
      </c>
    </row>
    <row r="7" spans="1:3" ht="16" x14ac:dyDescent="0.2">
      <c r="A7" s="17" t="s">
        <v>218</v>
      </c>
    </row>
    <row r="8" spans="1:3" ht="16" x14ac:dyDescent="0.2">
      <c r="A8" s="17" t="s">
        <v>192</v>
      </c>
    </row>
    <row r="9" spans="1:3" ht="16" x14ac:dyDescent="0.2">
      <c r="A9" s="17" t="s">
        <v>193</v>
      </c>
    </row>
    <row r="10" spans="1:3" ht="16" x14ac:dyDescent="0.2">
      <c r="A10" s="17" t="s">
        <v>194</v>
      </c>
    </row>
    <row r="11" spans="1:3" ht="16" x14ac:dyDescent="0.2">
      <c r="A11" s="17"/>
    </row>
    <row r="12" spans="1:3" ht="16" x14ac:dyDescent="0.2">
      <c r="A12" s="16" t="s">
        <v>195</v>
      </c>
    </row>
    <row r="13" spans="1:3" ht="16" x14ac:dyDescent="0.2">
      <c r="A13" s="17" t="s">
        <v>196</v>
      </c>
    </row>
    <row r="14" spans="1:3" ht="16" x14ac:dyDescent="0.2">
      <c r="A14" s="17" t="s">
        <v>197</v>
      </c>
    </row>
    <row r="15" spans="1:3" ht="16" x14ac:dyDescent="0.2">
      <c r="A15" s="17" t="s">
        <v>215</v>
      </c>
    </row>
    <row r="16" spans="1:3" ht="16" x14ac:dyDescent="0.2">
      <c r="A16" s="17" t="s">
        <v>198</v>
      </c>
    </row>
    <row r="17" spans="1:1" ht="16" x14ac:dyDescent="0.2">
      <c r="A17" s="17"/>
    </row>
    <row r="18" spans="1:1" ht="16" x14ac:dyDescent="0.2">
      <c r="A18" s="16" t="s">
        <v>199</v>
      </c>
    </row>
    <row r="19" spans="1:1" ht="16" x14ac:dyDescent="0.2">
      <c r="A19" s="17" t="s">
        <v>216</v>
      </c>
    </row>
    <row r="21" spans="1:1" ht="16" x14ac:dyDescent="0.2">
      <c r="A21" s="16" t="s">
        <v>200</v>
      </c>
    </row>
    <row r="22" spans="1:1" ht="16" x14ac:dyDescent="0.2">
      <c r="A22" s="17" t="s">
        <v>201</v>
      </c>
    </row>
    <row r="23" spans="1:1" ht="16" x14ac:dyDescent="0.2">
      <c r="A23" s="17" t="s">
        <v>202</v>
      </c>
    </row>
    <row r="24" spans="1:1" ht="16" x14ac:dyDescent="0.2">
      <c r="A24" s="17" t="s">
        <v>203</v>
      </c>
    </row>
    <row r="25" spans="1:1" ht="16" x14ac:dyDescent="0.2">
      <c r="A25" s="17" t="s">
        <v>204</v>
      </c>
    </row>
    <row r="27" spans="1:1" ht="16" x14ac:dyDescent="0.2">
      <c r="A27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B759-772C-5444-B05E-A65E58A8CA54}">
  <dimension ref="A1:B181"/>
  <sheetViews>
    <sheetView tabSelected="1" workbookViewId="0">
      <selection activeCell="A13" sqref="A13"/>
    </sheetView>
  </sheetViews>
  <sheetFormatPr baseColWidth="10" defaultRowHeight="15" x14ac:dyDescent="0.2"/>
  <cols>
    <col min="1" max="1" width="19.33203125" bestFit="1" customWidth="1"/>
    <col min="2" max="2" width="6.6640625" bestFit="1" customWidth="1"/>
    <col min="3" max="3" width="25.5" bestFit="1" customWidth="1"/>
    <col min="4" max="4" width="26" bestFit="1" customWidth="1"/>
    <col min="5" max="5" width="26.1640625" bestFit="1" customWidth="1"/>
    <col min="6" max="6" width="26" bestFit="1" customWidth="1"/>
    <col min="7" max="7" width="17" bestFit="1" customWidth="1"/>
    <col min="8" max="8" width="20.33203125" bestFit="1" customWidth="1"/>
    <col min="9" max="9" width="21.6640625" bestFit="1" customWidth="1"/>
    <col min="10" max="10" width="22" bestFit="1" customWidth="1"/>
    <col min="11" max="11" width="35.83203125" bestFit="1" customWidth="1"/>
    <col min="12" max="12" width="17.6640625" bestFit="1" customWidth="1"/>
    <col min="13" max="13" width="18.33203125" bestFit="1" customWidth="1"/>
    <col min="14" max="14" width="22.83203125" bestFit="1" customWidth="1"/>
    <col min="15" max="15" width="12" bestFit="1" customWidth="1"/>
    <col min="16" max="16" width="21.83203125" bestFit="1" customWidth="1"/>
    <col min="17" max="17" width="21.6640625" bestFit="1" customWidth="1"/>
    <col min="18" max="18" width="19.33203125" bestFit="1" customWidth="1"/>
    <col min="19" max="19" width="21.83203125" bestFit="1" customWidth="1"/>
    <col min="20" max="20" width="10" bestFit="1" customWidth="1"/>
  </cols>
  <sheetData>
    <row r="1" spans="1:2" x14ac:dyDescent="0.2">
      <c r="A1" s="27" t="s">
        <v>2</v>
      </c>
      <c r="B1" t="s">
        <v>274</v>
      </c>
    </row>
    <row r="3" spans="1:2" x14ac:dyDescent="0.2">
      <c r="A3" s="27" t="s">
        <v>219</v>
      </c>
    </row>
    <row r="4" spans="1:2" x14ac:dyDescent="0.2">
      <c r="A4" s="28" t="s">
        <v>221</v>
      </c>
    </row>
    <row r="5" spans="1:2" x14ac:dyDescent="0.2">
      <c r="A5" s="30">
        <v>9700</v>
      </c>
    </row>
    <row r="6" spans="1:2" x14ac:dyDescent="0.2">
      <c r="A6" s="30">
        <v>9800</v>
      </c>
    </row>
    <row r="7" spans="1:2" x14ac:dyDescent="0.2">
      <c r="A7" s="30">
        <v>10000</v>
      </c>
    </row>
    <row r="8" spans="1:2" x14ac:dyDescent="0.2">
      <c r="A8" s="28" t="s">
        <v>222</v>
      </c>
    </row>
    <row r="9" spans="1:2" x14ac:dyDescent="0.2">
      <c r="A9" s="30">
        <v>9900</v>
      </c>
    </row>
    <row r="10" spans="1:2" x14ac:dyDescent="0.2">
      <c r="A10" s="29">
        <v>89400</v>
      </c>
    </row>
    <row r="11" spans="1:2" x14ac:dyDescent="0.2">
      <c r="A11" s="30">
        <v>10000</v>
      </c>
    </row>
    <row r="12" spans="1:2" x14ac:dyDescent="0.2">
      <c r="A12" s="28" t="s">
        <v>223</v>
      </c>
    </row>
    <row r="13" spans="1:2" x14ac:dyDescent="0.2">
      <c r="A13" s="30">
        <v>-40000</v>
      </c>
    </row>
    <row r="14" spans="1:2" x14ac:dyDescent="0.2">
      <c r="A14" s="30">
        <v>-25000</v>
      </c>
    </row>
    <row r="15" spans="1:2" x14ac:dyDescent="0.2">
      <c r="A15" s="30">
        <v>-20000</v>
      </c>
    </row>
    <row r="16" spans="1:2" x14ac:dyDescent="0.2">
      <c r="A16" s="30">
        <v>-12000</v>
      </c>
    </row>
    <row r="17" spans="1:1" x14ac:dyDescent="0.2">
      <c r="A17" s="28" t="s">
        <v>224</v>
      </c>
    </row>
    <row r="18" spans="1:1" x14ac:dyDescent="0.2">
      <c r="A18" s="30">
        <v>8800</v>
      </c>
    </row>
    <row r="19" spans="1:1" x14ac:dyDescent="0.2">
      <c r="A19" s="30">
        <v>10000</v>
      </c>
    </row>
    <row r="20" spans="1:1" x14ac:dyDescent="0.2">
      <c r="A20" s="28" t="s">
        <v>225</v>
      </c>
    </row>
    <row r="21" spans="1:1" x14ac:dyDescent="0.2">
      <c r="A21" s="30">
        <v>9900</v>
      </c>
    </row>
    <row r="22" spans="1:1" x14ac:dyDescent="0.2">
      <c r="A22" s="29">
        <v>91100</v>
      </c>
    </row>
    <row r="23" spans="1:1" x14ac:dyDescent="0.2">
      <c r="A23" s="30">
        <v>10000</v>
      </c>
    </row>
    <row r="24" spans="1:1" x14ac:dyDescent="0.2">
      <c r="A24" s="28" t="s">
        <v>226</v>
      </c>
    </row>
    <row r="25" spans="1:1" x14ac:dyDescent="0.2">
      <c r="A25" s="30">
        <v>-50000</v>
      </c>
    </row>
    <row r="26" spans="1:1" x14ac:dyDescent="0.2">
      <c r="A26" s="30">
        <v>-25000</v>
      </c>
    </row>
    <row r="27" spans="1:1" x14ac:dyDescent="0.2">
      <c r="A27" s="30">
        <v>-20000</v>
      </c>
    </row>
    <row r="28" spans="1:1" x14ac:dyDescent="0.2">
      <c r="A28" s="30">
        <v>-10000</v>
      </c>
    </row>
    <row r="29" spans="1:1" x14ac:dyDescent="0.2">
      <c r="A29" s="28" t="s">
        <v>227</v>
      </c>
    </row>
    <row r="30" spans="1:1" x14ac:dyDescent="0.2">
      <c r="A30" s="30">
        <v>-1000</v>
      </c>
    </row>
    <row r="31" spans="1:1" x14ac:dyDescent="0.2">
      <c r="A31" s="28" t="s">
        <v>228</v>
      </c>
    </row>
    <row r="32" spans="1:1" x14ac:dyDescent="0.2">
      <c r="A32" s="30">
        <v>-1000</v>
      </c>
    </row>
    <row r="33" spans="1:1" x14ac:dyDescent="0.2">
      <c r="A33" s="28" t="s">
        <v>229</v>
      </c>
    </row>
    <row r="34" spans="1:1" x14ac:dyDescent="0.2">
      <c r="A34" s="30">
        <v>7500</v>
      </c>
    </row>
    <row r="35" spans="1:1" x14ac:dyDescent="0.2">
      <c r="A35" s="30">
        <v>10000</v>
      </c>
    </row>
    <row r="36" spans="1:1" x14ac:dyDescent="0.2">
      <c r="A36" s="28" t="s">
        <v>230</v>
      </c>
    </row>
    <row r="37" spans="1:1" x14ac:dyDescent="0.2">
      <c r="A37" s="30">
        <v>8000</v>
      </c>
    </row>
    <row r="38" spans="1:1" x14ac:dyDescent="0.2">
      <c r="A38" s="30">
        <v>10000</v>
      </c>
    </row>
    <row r="39" spans="1:1" x14ac:dyDescent="0.2">
      <c r="A39" s="28" t="s">
        <v>231</v>
      </c>
    </row>
    <row r="40" spans="1:1" x14ac:dyDescent="0.2">
      <c r="A40" s="30">
        <v>9500</v>
      </c>
    </row>
    <row r="41" spans="1:1" x14ac:dyDescent="0.2">
      <c r="A41" s="30">
        <v>10000</v>
      </c>
    </row>
    <row r="42" spans="1:1" x14ac:dyDescent="0.2">
      <c r="A42" s="28" t="s">
        <v>232</v>
      </c>
    </row>
    <row r="43" spans="1:1" x14ac:dyDescent="0.2">
      <c r="A43" s="30">
        <v>-1000</v>
      </c>
    </row>
    <row r="44" spans="1:1" x14ac:dyDescent="0.2">
      <c r="A44" s="28" t="s">
        <v>233</v>
      </c>
    </row>
    <row r="45" spans="1:1" x14ac:dyDescent="0.2">
      <c r="A45" s="30">
        <v>-100000</v>
      </c>
    </row>
    <row r="46" spans="1:1" x14ac:dyDescent="0.2">
      <c r="A46" s="28" t="s">
        <v>234</v>
      </c>
    </row>
    <row r="47" spans="1:1" x14ac:dyDescent="0.2">
      <c r="A47" s="30">
        <v>8000</v>
      </c>
    </row>
    <row r="48" spans="1:1" x14ac:dyDescent="0.2">
      <c r="A48" s="30">
        <v>9000</v>
      </c>
    </row>
    <row r="49" spans="1:1" x14ac:dyDescent="0.2">
      <c r="A49" s="30">
        <v>10000</v>
      </c>
    </row>
    <row r="50" spans="1:1" x14ac:dyDescent="0.2">
      <c r="A50" s="28" t="s">
        <v>235</v>
      </c>
    </row>
    <row r="51" spans="1:1" x14ac:dyDescent="0.2">
      <c r="A51" s="30">
        <v>10000</v>
      </c>
    </row>
    <row r="52" spans="1:1" x14ac:dyDescent="0.2">
      <c r="A52" s="28" t="s">
        <v>236</v>
      </c>
    </row>
    <row r="53" spans="1:1" x14ac:dyDescent="0.2">
      <c r="A53" s="30">
        <v>10000</v>
      </c>
    </row>
    <row r="54" spans="1:1" x14ac:dyDescent="0.2">
      <c r="A54" s="28" t="s">
        <v>237</v>
      </c>
    </row>
    <row r="55" spans="1:1" x14ac:dyDescent="0.2">
      <c r="A55" s="30">
        <v>-100000</v>
      </c>
    </row>
    <row r="56" spans="1:1" x14ac:dyDescent="0.2">
      <c r="A56" s="30">
        <v>-20000</v>
      </c>
    </row>
    <row r="57" spans="1:1" x14ac:dyDescent="0.2">
      <c r="A57" s="30">
        <v>-1000</v>
      </c>
    </row>
    <row r="58" spans="1:1" x14ac:dyDescent="0.2">
      <c r="A58" s="28" t="s">
        <v>238</v>
      </c>
    </row>
    <row r="59" spans="1:1" x14ac:dyDescent="0.2">
      <c r="A59" s="30">
        <v>10000</v>
      </c>
    </row>
    <row r="60" spans="1:1" x14ac:dyDescent="0.2">
      <c r="A60" s="28" t="s">
        <v>239</v>
      </c>
    </row>
    <row r="61" spans="1:1" x14ac:dyDescent="0.2">
      <c r="A61" s="30">
        <v>9500</v>
      </c>
    </row>
    <row r="62" spans="1:1" x14ac:dyDescent="0.2">
      <c r="A62" s="30">
        <v>10000</v>
      </c>
    </row>
    <row r="63" spans="1:1" x14ac:dyDescent="0.2">
      <c r="A63" s="28" t="s">
        <v>240</v>
      </c>
    </row>
    <row r="64" spans="1:1" x14ac:dyDescent="0.2">
      <c r="A64" s="30">
        <v>-30000</v>
      </c>
    </row>
    <row r="65" spans="1:1" x14ac:dyDescent="0.2">
      <c r="A65" s="30">
        <v>-1000</v>
      </c>
    </row>
    <row r="66" spans="1:1" x14ac:dyDescent="0.2">
      <c r="A66" s="28" t="s">
        <v>241</v>
      </c>
    </row>
    <row r="67" spans="1:1" x14ac:dyDescent="0.2">
      <c r="A67" s="30">
        <v>-10000</v>
      </c>
    </row>
    <row r="68" spans="1:1" x14ac:dyDescent="0.2">
      <c r="A68" s="30">
        <v>-1000</v>
      </c>
    </row>
    <row r="69" spans="1:1" x14ac:dyDescent="0.2">
      <c r="A69" s="28" t="s">
        <v>242</v>
      </c>
    </row>
    <row r="70" spans="1:1" x14ac:dyDescent="0.2">
      <c r="A70" s="30">
        <v>-25000</v>
      </c>
    </row>
    <row r="71" spans="1:1" x14ac:dyDescent="0.2">
      <c r="A71" s="30">
        <v>-20000</v>
      </c>
    </row>
    <row r="72" spans="1:1" x14ac:dyDescent="0.2">
      <c r="A72" s="30">
        <v>-1000</v>
      </c>
    </row>
    <row r="73" spans="1:1" x14ac:dyDescent="0.2">
      <c r="A73" s="28" t="s">
        <v>243</v>
      </c>
    </row>
    <row r="74" spans="1:1" x14ac:dyDescent="0.2">
      <c r="A74" s="30">
        <v>9500</v>
      </c>
    </row>
    <row r="75" spans="1:1" x14ac:dyDescent="0.2">
      <c r="A75" s="30">
        <v>10000</v>
      </c>
    </row>
    <row r="76" spans="1:1" x14ac:dyDescent="0.2">
      <c r="A76" s="30">
        <v>150000</v>
      </c>
    </row>
    <row r="77" spans="1:1" x14ac:dyDescent="0.2">
      <c r="A77" s="28" t="s">
        <v>244</v>
      </c>
    </row>
    <row r="78" spans="1:1" x14ac:dyDescent="0.2">
      <c r="A78" s="30">
        <v>9500</v>
      </c>
    </row>
    <row r="79" spans="1:1" x14ac:dyDescent="0.2">
      <c r="A79" s="30">
        <v>10000</v>
      </c>
    </row>
    <row r="80" spans="1:1" x14ac:dyDescent="0.2">
      <c r="A80" s="28" t="s">
        <v>245</v>
      </c>
    </row>
    <row r="81" spans="1:1" x14ac:dyDescent="0.2">
      <c r="A81" s="30">
        <v>-75000</v>
      </c>
    </row>
    <row r="82" spans="1:1" x14ac:dyDescent="0.2">
      <c r="A82" s="30">
        <v>-50000</v>
      </c>
    </row>
    <row r="83" spans="1:1" x14ac:dyDescent="0.2">
      <c r="A83" s="30">
        <v>-25000</v>
      </c>
    </row>
    <row r="84" spans="1:1" x14ac:dyDescent="0.2">
      <c r="A84" s="28" t="s">
        <v>246</v>
      </c>
    </row>
    <row r="85" spans="1:1" x14ac:dyDescent="0.2">
      <c r="A85" s="30">
        <v>-75000</v>
      </c>
    </row>
    <row r="86" spans="1:1" x14ac:dyDescent="0.2">
      <c r="A86" s="30">
        <v>-50000</v>
      </c>
    </row>
    <row r="87" spans="1:1" x14ac:dyDescent="0.2">
      <c r="A87" s="30">
        <v>-30000</v>
      </c>
    </row>
    <row r="88" spans="1:1" x14ac:dyDescent="0.2">
      <c r="A88" s="30">
        <v>-25000</v>
      </c>
    </row>
    <row r="89" spans="1:1" x14ac:dyDescent="0.2">
      <c r="A89" s="30">
        <v>-1000</v>
      </c>
    </row>
    <row r="90" spans="1:1" x14ac:dyDescent="0.2">
      <c r="A90" s="28" t="s">
        <v>247</v>
      </c>
    </row>
    <row r="91" spans="1:1" x14ac:dyDescent="0.2">
      <c r="A91" s="30">
        <v>9500</v>
      </c>
    </row>
    <row r="92" spans="1:1" x14ac:dyDescent="0.2">
      <c r="A92" s="30">
        <v>10000</v>
      </c>
    </row>
    <row r="93" spans="1:1" x14ac:dyDescent="0.2">
      <c r="A93" s="30">
        <v>12000</v>
      </c>
    </row>
    <row r="94" spans="1:1" x14ac:dyDescent="0.2">
      <c r="A94" s="30">
        <v>160000</v>
      </c>
    </row>
    <row r="95" spans="1:1" x14ac:dyDescent="0.2">
      <c r="A95" s="28" t="s">
        <v>248</v>
      </c>
    </row>
    <row r="96" spans="1:1" x14ac:dyDescent="0.2">
      <c r="A96" s="30">
        <v>9500</v>
      </c>
    </row>
    <row r="97" spans="1:1" x14ac:dyDescent="0.2">
      <c r="A97" s="30">
        <v>10000</v>
      </c>
    </row>
    <row r="98" spans="1:1" x14ac:dyDescent="0.2">
      <c r="A98" s="28" t="s">
        <v>249</v>
      </c>
    </row>
    <row r="99" spans="1:1" x14ac:dyDescent="0.2">
      <c r="A99" s="30">
        <v>9500</v>
      </c>
    </row>
    <row r="100" spans="1:1" x14ac:dyDescent="0.2">
      <c r="A100" s="30">
        <v>10000</v>
      </c>
    </row>
    <row r="101" spans="1:1" x14ac:dyDescent="0.2">
      <c r="A101" s="28" t="s">
        <v>250</v>
      </c>
    </row>
    <row r="102" spans="1:1" x14ac:dyDescent="0.2">
      <c r="A102" s="30">
        <v>-30000</v>
      </c>
    </row>
    <row r="103" spans="1:1" x14ac:dyDescent="0.2">
      <c r="A103" s="30">
        <v>-25000</v>
      </c>
    </row>
    <row r="104" spans="1:1" x14ac:dyDescent="0.2">
      <c r="A104" s="30">
        <v>-24000</v>
      </c>
    </row>
    <row r="105" spans="1:1" x14ac:dyDescent="0.2">
      <c r="A105" s="28" t="s">
        <v>251</v>
      </c>
    </row>
    <row r="106" spans="1:1" x14ac:dyDescent="0.2">
      <c r="A106" s="30">
        <v>-100000</v>
      </c>
    </row>
    <row r="107" spans="1:1" x14ac:dyDescent="0.2">
      <c r="A107" s="30">
        <v>-55000</v>
      </c>
    </row>
    <row r="108" spans="1:1" x14ac:dyDescent="0.2">
      <c r="A108" s="30">
        <v>-20000</v>
      </c>
    </row>
    <row r="109" spans="1:1" x14ac:dyDescent="0.2">
      <c r="A109" s="30">
        <v>-1000</v>
      </c>
    </row>
    <row r="110" spans="1:1" x14ac:dyDescent="0.2">
      <c r="A110" s="28" t="s">
        <v>252</v>
      </c>
    </row>
    <row r="111" spans="1:1" x14ac:dyDescent="0.2">
      <c r="A111" s="30">
        <v>-1000</v>
      </c>
    </row>
    <row r="112" spans="1:1" x14ac:dyDescent="0.2">
      <c r="A112" s="28" t="s">
        <v>253</v>
      </c>
    </row>
    <row r="113" spans="1:1" x14ac:dyDescent="0.2">
      <c r="A113" s="30">
        <v>10000</v>
      </c>
    </row>
    <row r="114" spans="1:1" x14ac:dyDescent="0.2">
      <c r="A114" s="30">
        <v>250000</v>
      </c>
    </row>
    <row r="115" spans="1:1" x14ac:dyDescent="0.2">
      <c r="A115" s="28" t="s">
        <v>254</v>
      </c>
    </row>
    <row r="116" spans="1:1" x14ac:dyDescent="0.2">
      <c r="A116" s="30">
        <v>9500</v>
      </c>
    </row>
    <row r="117" spans="1:1" x14ac:dyDescent="0.2">
      <c r="A117" s="28" t="s">
        <v>255</v>
      </c>
    </row>
    <row r="118" spans="1:1" x14ac:dyDescent="0.2">
      <c r="A118" s="30">
        <v>-85000</v>
      </c>
    </row>
    <row r="119" spans="1:1" x14ac:dyDescent="0.2">
      <c r="A119" s="30">
        <v>-70000</v>
      </c>
    </row>
    <row r="120" spans="1:1" x14ac:dyDescent="0.2">
      <c r="A120" s="30">
        <v>-25000</v>
      </c>
    </row>
    <row r="121" spans="1:1" x14ac:dyDescent="0.2">
      <c r="A121" s="30">
        <v>-1000</v>
      </c>
    </row>
    <row r="122" spans="1:1" x14ac:dyDescent="0.2">
      <c r="A122" s="28" t="s">
        <v>256</v>
      </c>
    </row>
    <row r="123" spans="1:1" x14ac:dyDescent="0.2">
      <c r="A123" s="30">
        <v>-170000</v>
      </c>
    </row>
    <row r="124" spans="1:1" x14ac:dyDescent="0.2">
      <c r="A124" s="30">
        <v>-1000</v>
      </c>
    </row>
    <row r="125" spans="1:1" x14ac:dyDescent="0.2">
      <c r="A125" s="28" t="s">
        <v>257</v>
      </c>
    </row>
    <row r="126" spans="1:1" x14ac:dyDescent="0.2">
      <c r="A126" s="30">
        <v>10000</v>
      </c>
    </row>
    <row r="127" spans="1:1" x14ac:dyDescent="0.2">
      <c r="A127" s="30">
        <v>250000</v>
      </c>
    </row>
    <row r="128" spans="1:1" x14ac:dyDescent="0.2">
      <c r="A128" s="28" t="s">
        <v>258</v>
      </c>
    </row>
    <row r="129" spans="1:1" x14ac:dyDescent="0.2">
      <c r="A129" s="30">
        <v>9500</v>
      </c>
    </row>
    <row r="130" spans="1:1" x14ac:dyDescent="0.2">
      <c r="A130" s="28" t="s">
        <v>259</v>
      </c>
    </row>
    <row r="131" spans="1:1" x14ac:dyDescent="0.2">
      <c r="A131" s="30">
        <v>-48000</v>
      </c>
    </row>
    <row r="132" spans="1:1" x14ac:dyDescent="0.2">
      <c r="A132" s="30">
        <v>-30000</v>
      </c>
    </row>
    <row r="133" spans="1:1" x14ac:dyDescent="0.2">
      <c r="A133" s="30">
        <v>-1000</v>
      </c>
    </row>
    <row r="134" spans="1:1" x14ac:dyDescent="0.2">
      <c r="A134" s="28" t="s">
        <v>260</v>
      </c>
    </row>
    <row r="135" spans="1:1" x14ac:dyDescent="0.2">
      <c r="A135" s="30">
        <v>-150000</v>
      </c>
    </row>
    <row r="136" spans="1:1" x14ac:dyDescent="0.2">
      <c r="A136" s="30">
        <v>-45000</v>
      </c>
    </row>
    <row r="137" spans="1:1" x14ac:dyDescent="0.2">
      <c r="A137" s="30">
        <v>-23000</v>
      </c>
    </row>
    <row r="138" spans="1:1" x14ac:dyDescent="0.2">
      <c r="A138" s="30">
        <v>-10000</v>
      </c>
    </row>
    <row r="139" spans="1:1" x14ac:dyDescent="0.2">
      <c r="A139" s="30">
        <v>-1000</v>
      </c>
    </row>
    <row r="140" spans="1:1" x14ac:dyDescent="0.2">
      <c r="A140" s="28" t="s">
        <v>261</v>
      </c>
    </row>
    <row r="141" spans="1:1" x14ac:dyDescent="0.2">
      <c r="A141" s="30">
        <v>10000</v>
      </c>
    </row>
    <row r="142" spans="1:1" x14ac:dyDescent="0.2">
      <c r="A142" s="30">
        <v>250000</v>
      </c>
    </row>
    <row r="143" spans="1:1" x14ac:dyDescent="0.2">
      <c r="A143" s="28" t="s">
        <v>262</v>
      </c>
    </row>
    <row r="144" spans="1:1" x14ac:dyDescent="0.2">
      <c r="A144" s="30">
        <v>9500</v>
      </c>
    </row>
    <row r="145" spans="1:1" x14ac:dyDescent="0.2">
      <c r="A145" s="28" t="s">
        <v>263</v>
      </c>
    </row>
    <row r="146" spans="1:1" x14ac:dyDescent="0.2">
      <c r="A146" s="30">
        <v>-195000</v>
      </c>
    </row>
    <row r="147" spans="1:1" x14ac:dyDescent="0.2">
      <c r="A147" s="30">
        <v>-55000</v>
      </c>
    </row>
    <row r="148" spans="1:1" x14ac:dyDescent="0.2">
      <c r="A148" s="30">
        <v>-35000</v>
      </c>
    </row>
    <row r="149" spans="1:1" x14ac:dyDescent="0.2">
      <c r="A149" s="28" t="s">
        <v>264</v>
      </c>
    </row>
    <row r="150" spans="1:1" x14ac:dyDescent="0.2">
      <c r="A150" s="30">
        <v>-40000</v>
      </c>
    </row>
    <row r="151" spans="1:1" x14ac:dyDescent="0.2">
      <c r="A151" s="30">
        <v>-1000</v>
      </c>
    </row>
    <row r="152" spans="1:1" x14ac:dyDescent="0.2">
      <c r="A152" s="28" t="s">
        <v>265</v>
      </c>
    </row>
    <row r="153" spans="1:1" x14ac:dyDescent="0.2">
      <c r="A153" s="30">
        <v>9500</v>
      </c>
    </row>
    <row r="154" spans="1:1" x14ac:dyDescent="0.2">
      <c r="A154" s="30">
        <v>10000</v>
      </c>
    </row>
    <row r="155" spans="1:1" x14ac:dyDescent="0.2">
      <c r="A155" s="30">
        <v>250000</v>
      </c>
    </row>
    <row r="156" spans="1:1" x14ac:dyDescent="0.2">
      <c r="A156" s="28" t="s">
        <v>266</v>
      </c>
    </row>
    <row r="157" spans="1:1" x14ac:dyDescent="0.2">
      <c r="A157" s="30">
        <v>9500</v>
      </c>
    </row>
    <row r="158" spans="1:1" x14ac:dyDescent="0.2">
      <c r="A158" s="28" t="s">
        <v>267</v>
      </c>
    </row>
    <row r="159" spans="1:1" x14ac:dyDescent="0.2">
      <c r="A159" s="30">
        <v>-150000</v>
      </c>
    </row>
    <row r="160" spans="1:1" x14ac:dyDescent="0.2">
      <c r="A160" s="30">
        <v>-35000</v>
      </c>
    </row>
    <row r="161" spans="1:1" x14ac:dyDescent="0.2">
      <c r="A161" s="30">
        <v>-32000</v>
      </c>
    </row>
    <row r="162" spans="1:1" x14ac:dyDescent="0.2">
      <c r="A162" s="28" t="s">
        <v>268</v>
      </c>
    </row>
    <row r="163" spans="1:1" x14ac:dyDescent="0.2">
      <c r="A163" s="30">
        <v>-70000</v>
      </c>
    </row>
    <row r="164" spans="1:1" x14ac:dyDescent="0.2">
      <c r="A164" s="30">
        <v>-38000</v>
      </c>
    </row>
    <row r="165" spans="1:1" x14ac:dyDescent="0.2">
      <c r="A165" s="30">
        <v>-10000</v>
      </c>
    </row>
    <row r="166" spans="1:1" x14ac:dyDescent="0.2">
      <c r="A166" s="28" t="s">
        <v>269</v>
      </c>
    </row>
    <row r="167" spans="1:1" x14ac:dyDescent="0.2">
      <c r="A167" s="30">
        <v>10000</v>
      </c>
    </row>
    <row r="168" spans="1:1" x14ac:dyDescent="0.2">
      <c r="A168" s="30">
        <v>340000</v>
      </c>
    </row>
    <row r="169" spans="1:1" x14ac:dyDescent="0.2">
      <c r="A169" s="28" t="s">
        <v>270</v>
      </c>
    </row>
    <row r="170" spans="1:1" x14ac:dyDescent="0.2">
      <c r="A170" s="30">
        <v>10000</v>
      </c>
    </row>
    <row r="171" spans="1:1" x14ac:dyDescent="0.2">
      <c r="A171" s="28" t="s">
        <v>271</v>
      </c>
    </row>
    <row r="172" spans="1:1" x14ac:dyDescent="0.2">
      <c r="A172" s="30">
        <v>-215000</v>
      </c>
    </row>
    <row r="173" spans="1:1" x14ac:dyDescent="0.2">
      <c r="A173" s="30">
        <v>-55000</v>
      </c>
    </row>
    <row r="174" spans="1:1" x14ac:dyDescent="0.2">
      <c r="A174" s="30">
        <v>-45000</v>
      </c>
    </row>
    <row r="175" spans="1:1" x14ac:dyDescent="0.2">
      <c r="A175" s="30">
        <v>-43000</v>
      </c>
    </row>
    <row r="176" spans="1:1" x14ac:dyDescent="0.2">
      <c r="A176" s="28" t="s">
        <v>272</v>
      </c>
    </row>
    <row r="177" spans="1:1" x14ac:dyDescent="0.2">
      <c r="A177" s="30">
        <v>-35000</v>
      </c>
    </row>
    <row r="178" spans="1:1" x14ac:dyDescent="0.2">
      <c r="A178" s="30">
        <v>-1000</v>
      </c>
    </row>
    <row r="179" spans="1:1" x14ac:dyDescent="0.2">
      <c r="A179" s="28" t="s">
        <v>273</v>
      </c>
    </row>
    <row r="180" spans="1:1" x14ac:dyDescent="0.2">
      <c r="A180" s="30">
        <v>-1000</v>
      </c>
    </row>
    <row r="181" spans="1:1" x14ac:dyDescent="0.2">
      <c r="A181" s="28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6"/>
  <sheetViews>
    <sheetView workbookViewId="0">
      <selection activeCell="A5" sqref="A5"/>
    </sheetView>
  </sheetViews>
  <sheetFormatPr baseColWidth="10" defaultColWidth="9.1640625" defaultRowHeight="15" x14ac:dyDescent="0.2"/>
  <cols>
    <col min="1" max="1" width="17.6640625" style="3" customWidth="1"/>
    <col min="2" max="2" width="17.83203125" style="18" bestFit="1" customWidth="1"/>
    <col min="3" max="3" width="37.6640625" style="4" customWidth="1"/>
    <col min="4" max="4" width="13.33203125" style="4" customWidth="1"/>
    <col min="5" max="5" width="11.6640625" style="8" bestFit="1" customWidth="1"/>
    <col min="6" max="16384" width="9.1640625" style="4"/>
  </cols>
  <sheetData>
    <row r="1" spans="1:5" x14ac:dyDescent="0.2">
      <c r="A1" s="3" t="s">
        <v>206</v>
      </c>
      <c r="C1" s="19" t="s">
        <v>207</v>
      </c>
    </row>
    <row r="2" spans="1:5" x14ac:dyDescent="0.2">
      <c r="A2" s="20" t="s">
        <v>208</v>
      </c>
      <c r="B2" s="21" t="s">
        <v>209</v>
      </c>
      <c r="C2" s="19" t="s">
        <v>210</v>
      </c>
    </row>
    <row r="3" spans="1:5" x14ac:dyDescent="0.2">
      <c r="A3" s="20" t="s">
        <v>211</v>
      </c>
      <c r="B3" s="21" t="s">
        <v>212</v>
      </c>
    </row>
    <row r="5" spans="1:5" s="23" customFormat="1" ht="16" x14ac:dyDescent="0.2">
      <c r="A5" s="1" t="s">
        <v>0</v>
      </c>
      <c r="B5" s="22" t="s">
        <v>1</v>
      </c>
      <c r="C5" s="2" t="s">
        <v>2</v>
      </c>
      <c r="D5" s="2" t="s">
        <v>213</v>
      </c>
      <c r="E5" s="7" t="s">
        <v>214</v>
      </c>
    </row>
    <row r="6" spans="1:5" x14ac:dyDescent="0.2">
      <c r="A6" s="3">
        <v>42737</v>
      </c>
      <c r="B6" s="18">
        <v>12546692</v>
      </c>
      <c r="C6" s="4" t="s">
        <v>96</v>
      </c>
      <c r="D6" s="8">
        <v>9800</v>
      </c>
      <c r="E6" s="4">
        <f>D6</f>
        <v>9800</v>
      </c>
    </row>
    <row r="7" spans="1:5" x14ac:dyDescent="0.2">
      <c r="A7" s="3">
        <v>42737</v>
      </c>
      <c r="B7" s="18">
        <v>12546693</v>
      </c>
      <c r="C7" s="4" t="s">
        <v>96</v>
      </c>
      <c r="D7" s="8">
        <v>10000</v>
      </c>
      <c r="E7" s="4">
        <f>E6+D7</f>
        <v>19800</v>
      </c>
    </row>
    <row r="8" spans="1:5" x14ac:dyDescent="0.2">
      <c r="A8" s="3">
        <v>42737</v>
      </c>
      <c r="B8" s="18">
        <v>12546694</v>
      </c>
      <c r="C8" s="4" t="s">
        <v>97</v>
      </c>
      <c r="D8" s="8">
        <v>10000</v>
      </c>
      <c r="E8" s="4">
        <f t="shared" ref="E8:E71" si="0">E7+D8</f>
        <v>29800</v>
      </c>
    </row>
    <row r="9" spans="1:5" x14ac:dyDescent="0.2">
      <c r="A9" s="3">
        <v>42737</v>
      </c>
      <c r="B9" s="18">
        <v>12546695</v>
      </c>
      <c r="C9" s="4" t="s">
        <v>96</v>
      </c>
      <c r="D9" s="8">
        <v>9700</v>
      </c>
      <c r="E9" s="4">
        <f t="shared" si="0"/>
        <v>39500</v>
      </c>
    </row>
    <row r="10" spans="1:5" x14ac:dyDescent="0.2">
      <c r="A10" s="3">
        <v>42738</v>
      </c>
      <c r="B10" s="18">
        <v>12546696</v>
      </c>
      <c r="C10" s="4" t="s">
        <v>98</v>
      </c>
      <c r="D10" s="8">
        <v>10000</v>
      </c>
      <c r="E10" s="4">
        <f t="shared" si="0"/>
        <v>49500</v>
      </c>
    </row>
    <row r="11" spans="1:5" x14ac:dyDescent="0.2">
      <c r="A11" s="3">
        <v>42738</v>
      </c>
      <c r="B11" s="18">
        <v>12546697</v>
      </c>
      <c r="C11" s="4" t="s">
        <v>97</v>
      </c>
      <c r="D11" s="8">
        <v>10000</v>
      </c>
      <c r="E11" s="4">
        <f t="shared" si="0"/>
        <v>59500</v>
      </c>
    </row>
    <row r="12" spans="1:5" x14ac:dyDescent="0.2">
      <c r="A12" s="3">
        <v>42738</v>
      </c>
      <c r="B12" s="18">
        <v>12546698</v>
      </c>
      <c r="C12" s="4" t="s">
        <v>98</v>
      </c>
      <c r="D12" s="8">
        <v>10000</v>
      </c>
      <c r="E12" s="4">
        <f t="shared" si="0"/>
        <v>69500</v>
      </c>
    </row>
    <row r="13" spans="1:5" x14ac:dyDescent="0.2">
      <c r="A13" s="3">
        <v>42738</v>
      </c>
      <c r="B13" s="18">
        <v>12546699</v>
      </c>
      <c r="C13" s="4" t="s">
        <v>98</v>
      </c>
      <c r="D13" s="8">
        <v>10000</v>
      </c>
      <c r="E13" s="4">
        <f t="shared" si="0"/>
        <v>79500</v>
      </c>
    </row>
    <row r="14" spans="1:5" x14ac:dyDescent="0.2">
      <c r="A14" s="3">
        <v>42738</v>
      </c>
      <c r="B14" s="18">
        <v>12546700</v>
      </c>
      <c r="C14" s="4" t="s">
        <v>98</v>
      </c>
      <c r="D14" s="8">
        <v>9900</v>
      </c>
      <c r="E14" s="4">
        <f t="shared" si="0"/>
        <v>89400</v>
      </c>
    </row>
    <row r="15" spans="1:5" x14ac:dyDescent="0.2">
      <c r="A15" s="3">
        <v>42738</v>
      </c>
      <c r="B15" s="18">
        <v>12546701</v>
      </c>
      <c r="C15" s="4" t="s">
        <v>97</v>
      </c>
      <c r="D15" s="8">
        <v>10000</v>
      </c>
      <c r="E15" s="4">
        <f t="shared" si="0"/>
        <v>99400</v>
      </c>
    </row>
    <row r="16" spans="1:5" x14ac:dyDescent="0.2">
      <c r="A16" s="3">
        <v>42739</v>
      </c>
      <c r="B16" s="18">
        <v>12546702</v>
      </c>
      <c r="C16" s="4" t="s">
        <v>4</v>
      </c>
      <c r="D16" s="8">
        <v>-25000</v>
      </c>
      <c r="E16" s="4">
        <f>E15+D16</f>
        <v>74400</v>
      </c>
    </row>
    <row r="17" spans="1:5" x14ac:dyDescent="0.2">
      <c r="A17" s="3">
        <v>42739</v>
      </c>
      <c r="B17" s="18">
        <v>12546704</v>
      </c>
      <c r="C17" s="4" t="s">
        <v>5</v>
      </c>
      <c r="D17" s="8">
        <v>-40000</v>
      </c>
      <c r="E17" s="4">
        <f t="shared" si="0"/>
        <v>34400</v>
      </c>
    </row>
    <row r="18" spans="1:5" x14ac:dyDescent="0.2">
      <c r="A18" s="3">
        <v>42739</v>
      </c>
      <c r="B18" s="18">
        <v>12546705</v>
      </c>
      <c r="C18" s="4" t="s">
        <v>6</v>
      </c>
      <c r="D18" s="8">
        <v>-20000</v>
      </c>
      <c r="E18" s="4">
        <f t="shared" si="0"/>
        <v>14400</v>
      </c>
    </row>
    <row r="19" spans="1:5" x14ac:dyDescent="0.2">
      <c r="A19" s="3">
        <v>42739</v>
      </c>
      <c r="B19" s="18">
        <v>12546703</v>
      </c>
      <c r="C19" s="4" t="s">
        <v>7</v>
      </c>
      <c r="D19" s="8">
        <v>-12000</v>
      </c>
      <c r="E19" s="4">
        <f t="shared" si="0"/>
        <v>2400</v>
      </c>
    </row>
    <row r="20" spans="1:5" x14ac:dyDescent="0.2">
      <c r="A20" s="3">
        <v>42768</v>
      </c>
      <c r="B20" s="18">
        <v>12546706</v>
      </c>
      <c r="C20" s="4" t="s">
        <v>98</v>
      </c>
      <c r="D20" s="8">
        <v>10000</v>
      </c>
      <c r="E20" s="4">
        <f t="shared" si="0"/>
        <v>12400</v>
      </c>
    </row>
    <row r="21" spans="1:5" x14ac:dyDescent="0.2">
      <c r="A21" s="3">
        <v>42768</v>
      </c>
      <c r="B21" s="18">
        <v>12546707</v>
      </c>
      <c r="C21" s="4" t="s">
        <v>98</v>
      </c>
      <c r="D21" s="8">
        <v>10000</v>
      </c>
      <c r="E21" s="4">
        <f t="shared" si="0"/>
        <v>22400</v>
      </c>
    </row>
    <row r="22" spans="1:5" x14ac:dyDescent="0.2">
      <c r="A22" s="3">
        <v>42768</v>
      </c>
      <c r="B22" s="18">
        <v>12546708</v>
      </c>
      <c r="C22" s="4" t="s">
        <v>99</v>
      </c>
      <c r="D22" s="8">
        <v>10000</v>
      </c>
      <c r="E22" s="4">
        <f t="shared" si="0"/>
        <v>32400</v>
      </c>
    </row>
    <row r="23" spans="1:5" x14ac:dyDescent="0.2">
      <c r="A23" s="3">
        <v>42768</v>
      </c>
      <c r="B23" s="18">
        <v>12546709</v>
      </c>
      <c r="C23" s="4" t="s">
        <v>99</v>
      </c>
      <c r="D23" s="8">
        <v>8800</v>
      </c>
      <c r="E23" s="4">
        <f t="shared" si="0"/>
        <v>41200</v>
      </c>
    </row>
    <row r="24" spans="1:5" x14ac:dyDescent="0.2">
      <c r="A24" s="3">
        <v>42768</v>
      </c>
      <c r="B24" s="18">
        <v>12546710</v>
      </c>
      <c r="C24" s="4" t="s">
        <v>99</v>
      </c>
      <c r="D24" s="8">
        <v>10000</v>
      </c>
      <c r="E24" s="4">
        <f t="shared" si="0"/>
        <v>51200</v>
      </c>
    </row>
    <row r="25" spans="1:5" x14ac:dyDescent="0.2">
      <c r="A25" s="3">
        <v>42768</v>
      </c>
      <c r="B25" s="18">
        <v>12546711</v>
      </c>
      <c r="C25" s="4" t="s">
        <v>98</v>
      </c>
      <c r="D25" s="8">
        <v>10000</v>
      </c>
      <c r="E25" s="4">
        <f t="shared" si="0"/>
        <v>61200</v>
      </c>
    </row>
    <row r="26" spans="1:5" x14ac:dyDescent="0.2">
      <c r="A26" s="3">
        <v>42768</v>
      </c>
      <c r="B26" s="18">
        <v>12546712</v>
      </c>
      <c r="C26" s="4" t="s">
        <v>97</v>
      </c>
      <c r="D26" s="8">
        <v>10000</v>
      </c>
      <c r="E26" s="4">
        <f t="shared" si="0"/>
        <v>71200</v>
      </c>
    </row>
    <row r="27" spans="1:5" x14ac:dyDescent="0.2">
      <c r="A27" s="3">
        <v>42772</v>
      </c>
      <c r="B27" s="18">
        <v>12546713</v>
      </c>
      <c r="C27" s="4" t="s">
        <v>96</v>
      </c>
      <c r="D27" s="8">
        <v>10000</v>
      </c>
      <c r="E27" s="4">
        <f t="shared" si="0"/>
        <v>81200</v>
      </c>
    </row>
    <row r="28" spans="1:5" x14ac:dyDescent="0.2">
      <c r="A28" s="3">
        <v>42772</v>
      </c>
      <c r="B28" s="18">
        <v>12546714</v>
      </c>
      <c r="C28" s="4" t="s">
        <v>96</v>
      </c>
      <c r="D28" s="8">
        <v>9900</v>
      </c>
      <c r="E28" s="4">
        <f t="shared" si="0"/>
        <v>91100</v>
      </c>
    </row>
    <row r="29" spans="1:5" x14ac:dyDescent="0.2">
      <c r="A29" s="3">
        <v>42772</v>
      </c>
      <c r="B29" s="18">
        <v>12546715</v>
      </c>
      <c r="C29" s="4" t="s">
        <v>96</v>
      </c>
      <c r="D29" s="8">
        <v>10000</v>
      </c>
      <c r="E29" s="4">
        <f t="shared" si="0"/>
        <v>101100</v>
      </c>
    </row>
    <row r="30" spans="1:5" x14ac:dyDescent="0.2">
      <c r="A30" s="3">
        <v>42772</v>
      </c>
      <c r="B30" s="18">
        <v>12546716</v>
      </c>
      <c r="C30" s="4" t="s">
        <v>97</v>
      </c>
      <c r="D30" s="8">
        <v>10000</v>
      </c>
      <c r="E30" s="4">
        <f t="shared" si="0"/>
        <v>111100</v>
      </c>
    </row>
    <row r="31" spans="1:5" x14ac:dyDescent="0.2">
      <c r="A31" s="3">
        <v>42773</v>
      </c>
      <c r="B31" s="18">
        <v>12546718</v>
      </c>
      <c r="C31" s="4" t="s">
        <v>5</v>
      </c>
      <c r="D31" s="8">
        <v>-50000</v>
      </c>
      <c r="E31" s="4">
        <f t="shared" si="0"/>
        <v>61100</v>
      </c>
    </row>
    <row r="32" spans="1:5" x14ac:dyDescent="0.2">
      <c r="A32" s="3">
        <v>42773</v>
      </c>
      <c r="B32" s="18">
        <v>12546717</v>
      </c>
      <c r="C32" s="4" t="s">
        <v>7</v>
      </c>
      <c r="D32" s="8">
        <v>-25000</v>
      </c>
      <c r="E32" s="4">
        <f t="shared" si="0"/>
        <v>36100</v>
      </c>
    </row>
    <row r="33" spans="1:5" x14ac:dyDescent="0.2">
      <c r="A33" s="3">
        <v>42773</v>
      </c>
      <c r="B33" s="18">
        <v>12546719</v>
      </c>
      <c r="C33" s="4" t="s">
        <v>7</v>
      </c>
      <c r="D33" s="8">
        <v>-20000</v>
      </c>
      <c r="E33" s="4">
        <f t="shared" si="0"/>
        <v>16100</v>
      </c>
    </row>
    <row r="34" spans="1:5" x14ac:dyDescent="0.2">
      <c r="A34" s="3">
        <v>42773</v>
      </c>
      <c r="B34" s="18">
        <v>12546720</v>
      </c>
      <c r="C34" s="4" t="s">
        <v>7</v>
      </c>
      <c r="D34" s="8">
        <v>-10000</v>
      </c>
      <c r="E34" s="4">
        <f t="shared" si="0"/>
        <v>6100</v>
      </c>
    </row>
    <row r="35" spans="1:5" x14ac:dyDescent="0.2">
      <c r="A35" s="3">
        <v>42774</v>
      </c>
      <c r="B35" s="18">
        <v>12546721</v>
      </c>
      <c r="C35" s="4" t="s">
        <v>8</v>
      </c>
      <c r="D35" s="8">
        <v>-1000</v>
      </c>
      <c r="E35" s="4">
        <f t="shared" si="0"/>
        <v>5100</v>
      </c>
    </row>
    <row r="36" spans="1:5" x14ac:dyDescent="0.2">
      <c r="A36" s="3">
        <v>42774</v>
      </c>
      <c r="B36" s="18">
        <v>12546722</v>
      </c>
      <c r="C36" s="4" t="s">
        <v>8</v>
      </c>
      <c r="D36" s="8">
        <v>-1000</v>
      </c>
      <c r="E36" s="4">
        <f t="shared" si="0"/>
        <v>4100</v>
      </c>
    </row>
    <row r="37" spans="1:5" x14ac:dyDescent="0.2">
      <c r="A37" s="3">
        <v>42774</v>
      </c>
      <c r="B37" s="18">
        <v>12546723</v>
      </c>
      <c r="C37" s="4" t="s">
        <v>8</v>
      </c>
      <c r="D37" s="8">
        <v>-1000</v>
      </c>
      <c r="E37" s="4">
        <f t="shared" si="0"/>
        <v>3100</v>
      </c>
    </row>
    <row r="38" spans="1:5" x14ac:dyDescent="0.2">
      <c r="A38" s="3">
        <v>42775</v>
      </c>
      <c r="B38" s="18">
        <v>12546724</v>
      </c>
      <c r="C38" s="4" t="s">
        <v>9</v>
      </c>
      <c r="D38" s="8">
        <v>-1000</v>
      </c>
      <c r="E38" s="4">
        <f t="shared" si="0"/>
        <v>2100</v>
      </c>
    </row>
    <row r="39" spans="1:5" x14ac:dyDescent="0.2">
      <c r="A39" s="3">
        <v>42775</v>
      </c>
      <c r="B39" s="18">
        <v>12546725</v>
      </c>
      <c r="C39" s="4" t="s">
        <v>9</v>
      </c>
      <c r="D39" s="8">
        <v>-1000</v>
      </c>
      <c r="E39" s="4">
        <f t="shared" si="0"/>
        <v>1100</v>
      </c>
    </row>
    <row r="40" spans="1:5" x14ac:dyDescent="0.2">
      <c r="A40" s="3">
        <v>42796</v>
      </c>
      <c r="B40" s="18">
        <v>12546726</v>
      </c>
      <c r="C40" s="4" t="s">
        <v>96</v>
      </c>
      <c r="D40" s="8">
        <v>7500</v>
      </c>
      <c r="E40" s="4">
        <f t="shared" si="0"/>
        <v>8600</v>
      </c>
    </row>
    <row r="41" spans="1:5" x14ac:dyDescent="0.2">
      <c r="A41" s="3">
        <v>42796</v>
      </c>
      <c r="B41" s="18">
        <v>12546727</v>
      </c>
      <c r="C41" s="4" t="s">
        <v>96</v>
      </c>
      <c r="D41" s="8">
        <v>10000</v>
      </c>
      <c r="E41" s="4">
        <f t="shared" si="0"/>
        <v>18600</v>
      </c>
    </row>
    <row r="42" spans="1:5" x14ac:dyDescent="0.2">
      <c r="A42" s="3">
        <v>42796</v>
      </c>
      <c r="B42" s="18">
        <v>12546728</v>
      </c>
      <c r="C42" s="4" t="s">
        <v>96</v>
      </c>
      <c r="D42" s="8">
        <v>10000</v>
      </c>
      <c r="E42" s="4">
        <f t="shared" si="0"/>
        <v>28600</v>
      </c>
    </row>
    <row r="43" spans="1:5" x14ac:dyDescent="0.2">
      <c r="A43" s="3">
        <v>42796</v>
      </c>
      <c r="B43" s="18">
        <v>12546729</v>
      </c>
      <c r="C43" s="4" t="s">
        <v>96</v>
      </c>
      <c r="D43" s="8">
        <v>10000</v>
      </c>
      <c r="E43" s="4">
        <f t="shared" si="0"/>
        <v>38600</v>
      </c>
    </row>
    <row r="44" spans="1:5" x14ac:dyDescent="0.2">
      <c r="A44" s="3">
        <v>42797</v>
      </c>
      <c r="B44" s="18">
        <v>12546730</v>
      </c>
      <c r="C44" s="4" t="s">
        <v>100</v>
      </c>
      <c r="D44" s="8">
        <v>8000</v>
      </c>
      <c r="E44" s="4">
        <f t="shared" si="0"/>
        <v>46600</v>
      </c>
    </row>
    <row r="45" spans="1:5" x14ac:dyDescent="0.2">
      <c r="A45" s="3">
        <v>42797</v>
      </c>
      <c r="B45" s="18">
        <v>12546731</v>
      </c>
      <c r="C45" s="4" t="s">
        <v>98</v>
      </c>
      <c r="D45" s="8">
        <v>10000</v>
      </c>
      <c r="E45" s="4">
        <f t="shared" si="0"/>
        <v>56600</v>
      </c>
    </row>
    <row r="46" spans="1:5" x14ac:dyDescent="0.2">
      <c r="A46" s="3">
        <v>42797</v>
      </c>
      <c r="B46" s="18">
        <v>12546732</v>
      </c>
      <c r="C46" s="4" t="s">
        <v>98</v>
      </c>
      <c r="D46" s="8">
        <v>10000</v>
      </c>
      <c r="E46" s="4">
        <f t="shared" si="0"/>
        <v>66600</v>
      </c>
    </row>
    <row r="47" spans="1:5" x14ac:dyDescent="0.2">
      <c r="A47" s="3">
        <v>42797</v>
      </c>
      <c r="B47" s="18">
        <v>12546733</v>
      </c>
      <c r="C47" s="4" t="s">
        <v>98</v>
      </c>
      <c r="D47" s="8">
        <v>10000</v>
      </c>
      <c r="E47" s="4">
        <f t="shared" si="0"/>
        <v>76600</v>
      </c>
    </row>
    <row r="48" spans="1:5" x14ac:dyDescent="0.2">
      <c r="A48" s="3">
        <v>42800</v>
      </c>
      <c r="B48" s="18">
        <v>12546734</v>
      </c>
      <c r="C48" s="4" t="s">
        <v>99</v>
      </c>
      <c r="D48" s="8">
        <v>10000</v>
      </c>
      <c r="E48" s="4">
        <f t="shared" si="0"/>
        <v>86600</v>
      </c>
    </row>
    <row r="49" spans="1:5" x14ac:dyDescent="0.2">
      <c r="A49" s="3">
        <v>42800</v>
      </c>
      <c r="B49" s="18">
        <v>12546735</v>
      </c>
      <c r="C49" s="4" t="s">
        <v>99</v>
      </c>
      <c r="D49" s="8">
        <v>10000</v>
      </c>
      <c r="E49" s="4">
        <f t="shared" si="0"/>
        <v>96600</v>
      </c>
    </row>
    <row r="50" spans="1:5" x14ac:dyDescent="0.2">
      <c r="A50" s="3">
        <v>42800</v>
      </c>
      <c r="B50" s="18">
        <v>12546736</v>
      </c>
      <c r="C50" s="4" t="s">
        <v>97</v>
      </c>
      <c r="D50" s="8">
        <v>9500</v>
      </c>
      <c r="E50" s="4">
        <f t="shared" si="0"/>
        <v>106100</v>
      </c>
    </row>
    <row r="51" spans="1:5" x14ac:dyDescent="0.2">
      <c r="A51" s="3">
        <v>42800</v>
      </c>
      <c r="B51" s="18">
        <v>12546737</v>
      </c>
      <c r="C51" s="4" t="s">
        <v>97</v>
      </c>
      <c r="D51" s="8">
        <v>10000</v>
      </c>
      <c r="E51" s="4">
        <f t="shared" si="0"/>
        <v>116100</v>
      </c>
    </row>
    <row r="52" spans="1:5" x14ac:dyDescent="0.2">
      <c r="A52" s="3">
        <v>42801</v>
      </c>
      <c r="B52" s="18">
        <v>12546738</v>
      </c>
      <c r="C52" s="4" t="s">
        <v>8</v>
      </c>
      <c r="D52" s="8">
        <v>-1000</v>
      </c>
      <c r="E52" s="4">
        <f t="shared" si="0"/>
        <v>115100</v>
      </c>
    </row>
    <row r="53" spans="1:5" x14ac:dyDescent="0.2">
      <c r="A53" s="3">
        <v>42801</v>
      </c>
      <c r="B53" s="18">
        <v>12546739</v>
      </c>
      <c r="C53" s="4" t="s">
        <v>8</v>
      </c>
      <c r="D53" s="8">
        <v>-1000</v>
      </c>
      <c r="E53" s="4">
        <f t="shared" si="0"/>
        <v>114100</v>
      </c>
    </row>
    <row r="54" spans="1:5" x14ac:dyDescent="0.2">
      <c r="A54" s="3">
        <v>42801</v>
      </c>
      <c r="B54" s="18">
        <v>12546740</v>
      </c>
      <c r="C54" s="4" t="s">
        <v>8</v>
      </c>
      <c r="D54" s="8">
        <v>-1000</v>
      </c>
      <c r="E54" s="4">
        <f t="shared" si="0"/>
        <v>113100</v>
      </c>
    </row>
    <row r="55" spans="1:5" x14ac:dyDescent="0.2">
      <c r="A55" s="3">
        <v>42801</v>
      </c>
      <c r="B55" s="18">
        <v>12546741</v>
      </c>
      <c r="C55" s="4" t="s">
        <v>8</v>
      </c>
      <c r="D55" s="8">
        <v>-1000</v>
      </c>
      <c r="E55" s="4">
        <f t="shared" si="0"/>
        <v>112100</v>
      </c>
    </row>
    <row r="56" spans="1:5" x14ac:dyDescent="0.2">
      <c r="A56" s="3">
        <v>42801</v>
      </c>
      <c r="B56" s="18">
        <v>12546742</v>
      </c>
      <c r="C56" s="4" t="s">
        <v>8</v>
      </c>
      <c r="D56" s="8">
        <v>-1000</v>
      </c>
      <c r="E56" s="4">
        <f t="shared" si="0"/>
        <v>111100</v>
      </c>
    </row>
    <row r="57" spans="1:5" x14ac:dyDescent="0.2">
      <c r="A57" s="3">
        <v>42801</v>
      </c>
      <c r="B57" s="18">
        <v>12546743</v>
      </c>
      <c r="C57" s="4" t="s">
        <v>8</v>
      </c>
      <c r="D57" s="8">
        <v>-1000</v>
      </c>
      <c r="E57" s="4">
        <f t="shared" si="0"/>
        <v>110100</v>
      </c>
    </row>
    <row r="58" spans="1:5" x14ac:dyDescent="0.2">
      <c r="A58" s="3">
        <v>42801</v>
      </c>
      <c r="B58" s="18">
        <v>12546744</v>
      </c>
      <c r="C58" s="4" t="s">
        <v>8</v>
      </c>
      <c r="D58" s="8">
        <v>-1000</v>
      </c>
      <c r="E58" s="4">
        <f t="shared" si="0"/>
        <v>109100</v>
      </c>
    </row>
    <row r="59" spans="1:5" x14ac:dyDescent="0.2">
      <c r="A59" s="3">
        <v>42801</v>
      </c>
      <c r="B59" s="18">
        <v>12546745</v>
      </c>
      <c r="C59" s="4" t="s">
        <v>8</v>
      </c>
      <c r="D59" s="8">
        <v>-1000</v>
      </c>
      <c r="E59" s="4">
        <f t="shared" si="0"/>
        <v>108100</v>
      </c>
    </row>
    <row r="60" spans="1:5" x14ac:dyDescent="0.2">
      <c r="A60" s="3">
        <v>42801</v>
      </c>
      <c r="B60" s="18">
        <v>12546746</v>
      </c>
      <c r="C60" s="4" t="s">
        <v>8</v>
      </c>
      <c r="D60" s="8">
        <v>-1000</v>
      </c>
      <c r="E60" s="4">
        <f t="shared" si="0"/>
        <v>107100</v>
      </c>
    </row>
    <row r="61" spans="1:5" x14ac:dyDescent="0.2">
      <c r="A61" s="3">
        <v>42801</v>
      </c>
      <c r="B61" s="18">
        <v>12546747</v>
      </c>
      <c r="C61" s="4" t="s">
        <v>8</v>
      </c>
      <c r="D61" s="8">
        <v>-1000</v>
      </c>
      <c r="E61" s="4">
        <f t="shared" si="0"/>
        <v>106100</v>
      </c>
    </row>
    <row r="62" spans="1:5" x14ac:dyDescent="0.2">
      <c r="A62" s="3">
        <v>42802</v>
      </c>
      <c r="B62" s="18">
        <v>12546748</v>
      </c>
      <c r="C62" s="4" t="s">
        <v>10</v>
      </c>
      <c r="D62" s="8">
        <v>-100000</v>
      </c>
      <c r="E62" s="4">
        <f t="shared" si="0"/>
        <v>6100</v>
      </c>
    </row>
    <row r="63" spans="1:5" x14ac:dyDescent="0.2">
      <c r="A63" s="3">
        <v>42828</v>
      </c>
      <c r="B63" s="18">
        <v>12546749</v>
      </c>
      <c r="C63" s="4" t="s">
        <v>97</v>
      </c>
      <c r="D63" s="8">
        <v>9000</v>
      </c>
      <c r="E63" s="4">
        <f t="shared" si="0"/>
        <v>15100</v>
      </c>
    </row>
    <row r="64" spans="1:5" x14ac:dyDescent="0.2">
      <c r="A64" s="3">
        <v>42828</v>
      </c>
      <c r="B64" s="18">
        <v>12546750</v>
      </c>
      <c r="C64" s="4" t="s">
        <v>97</v>
      </c>
      <c r="D64" s="8">
        <v>10000</v>
      </c>
      <c r="E64" s="4">
        <f t="shared" si="0"/>
        <v>25100</v>
      </c>
    </row>
    <row r="65" spans="1:5" x14ac:dyDescent="0.2">
      <c r="A65" s="3">
        <v>42828</v>
      </c>
      <c r="B65" s="18">
        <v>12546751</v>
      </c>
      <c r="C65" s="4" t="s">
        <v>97</v>
      </c>
      <c r="D65" s="8">
        <v>10000</v>
      </c>
      <c r="E65" s="4">
        <f t="shared" si="0"/>
        <v>35100</v>
      </c>
    </row>
    <row r="66" spans="1:5" x14ac:dyDescent="0.2">
      <c r="A66" s="3">
        <v>42828</v>
      </c>
      <c r="B66" s="18">
        <v>12546752</v>
      </c>
      <c r="C66" s="4" t="s">
        <v>97</v>
      </c>
      <c r="D66" s="8">
        <v>10000</v>
      </c>
      <c r="E66" s="4">
        <f t="shared" si="0"/>
        <v>45100</v>
      </c>
    </row>
    <row r="67" spans="1:5" x14ac:dyDescent="0.2">
      <c r="A67" s="3">
        <v>42828</v>
      </c>
      <c r="B67" s="18">
        <v>12546753</v>
      </c>
      <c r="C67" s="4" t="s">
        <v>97</v>
      </c>
      <c r="D67" s="8">
        <v>8000</v>
      </c>
      <c r="E67" s="4">
        <f t="shared" si="0"/>
        <v>53100</v>
      </c>
    </row>
    <row r="68" spans="1:5" x14ac:dyDescent="0.2">
      <c r="A68" s="3">
        <v>42828</v>
      </c>
      <c r="B68" s="18">
        <v>12546754</v>
      </c>
      <c r="C68" s="4" t="s">
        <v>99</v>
      </c>
      <c r="D68" s="8">
        <v>10000</v>
      </c>
      <c r="E68" s="4">
        <f t="shared" si="0"/>
        <v>63100</v>
      </c>
    </row>
    <row r="69" spans="1:5" x14ac:dyDescent="0.2">
      <c r="A69" s="3">
        <v>42828</v>
      </c>
      <c r="B69" s="18">
        <v>12546755</v>
      </c>
      <c r="C69" s="4" t="s">
        <v>97</v>
      </c>
      <c r="D69" s="8">
        <v>10000</v>
      </c>
      <c r="E69" s="4">
        <f t="shared" si="0"/>
        <v>73100</v>
      </c>
    </row>
    <row r="70" spans="1:5" x14ac:dyDescent="0.2">
      <c r="A70" s="3">
        <v>42829</v>
      </c>
      <c r="B70" s="18">
        <v>12546756</v>
      </c>
      <c r="C70" s="4" t="s">
        <v>96</v>
      </c>
      <c r="D70" s="8">
        <v>10000</v>
      </c>
      <c r="E70" s="4">
        <f t="shared" si="0"/>
        <v>83100</v>
      </c>
    </row>
    <row r="71" spans="1:5" x14ac:dyDescent="0.2">
      <c r="A71" s="3">
        <v>42829</v>
      </c>
      <c r="B71" s="18">
        <v>12546757</v>
      </c>
      <c r="C71" s="4" t="s">
        <v>96</v>
      </c>
      <c r="D71" s="8">
        <v>10000</v>
      </c>
      <c r="E71" s="4">
        <f t="shared" si="0"/>
        <v>93100</v>
      </c>
    </row>
    <row r="72" spans="1:5" x14ac:dyDescent="0.2">
      <c r="A72" s="3">
        <v>42831</v>
      </c>
      <c r="B72" s="18">
        <v>12546758</v>
      </c>
      <c r="C72" s="4" t="s">
        <v>100</v>
      </c>
      <c r="D72" s="8">
        <v>10000</v>
      </c>
      <c r="E72" s="4">
        <f t="shared" ref="E72:E135" si="1">E71+D72</f>
        <v>103100</v>
      </c>
    </row>
    <row r="73" spans="1:5" x14ac:dyDescent="0.2">
      <c r="A73" s="3">
        <v>42831</v>
      </c>
      <c r="B73" s="18">
        <v>12546759</v>
      </c>
      <c r="C73" s="4" t="s">
        <v>100</v>
      </c>
      <c r="D73" s="8">
        <v>10000</v>
      </c>
      <c r="E73" s="4">
        <f t="shared" si="1"/>
        <v>113100</v>
      </c>
    </row>
    <row r="74" spans="1:5" x14ac:dyDescent="0.2">
      <c r="A74" s="3">
        <v>42831</v>
      </c>
      <c r="B74" s="18">
        <v>12546760</v>
      </c>
      <c r="C74" s="4" t="s">
        <v>98</v>
      </c>
      <c r="D74" s="8">
        <v>10000</v>
      </c>
      <c r="E74" s="4">
        <f t="shared" si="1"/>
        <v>123100</v>
      </c>
    </row>
    <row r="75" spans="1:5" x14ac:dyDescent="0.2">
      <c r="A75" s="3">
        <v>42832</v>
      </c>
      <c r="B75" s="18">
        <v>12546761</v>
      </c>
      <c r="C75" s="4" t="s">
        <v>8</v>
      </c>
      <c r="D75" s="8">
        <v>-1000</v>
      </c>
      <c r="E75" s="4">
        <f t="shared" si="1"/>
        <v>122100</v>
      </c>
    </row>
    <row r="76" spans="1:5" x14ac:dyDescent="0.2">
      <c r="A76" s="3">
        <v>42832</v>
      </c>
      <c r="B76" s="18">
        <v>12546762</v>
      </c>
      <c r="C76" s="4" t="s">
        <v>8</v>
      </c>
      <c r="D76" s="8">
        <v>-1000</v>
      </c>
      <c r="E76" s="4">
        <f t="shared" si="1"/>
        <v>121100</v>
      </c>
    </row>
    <row r="77" spans="1:5" x14ac:dyDescent="0.2">
      <c r="A77" s="3">
        <v>42832</v>
      </c>
      <c r="B77" s="24" t="s">
        <v>11</v>
      </c>
      <c r="C77" s="4" t="s">
        <v>9</v>
      </c>
      <c r="D77" s="8">
        <v>-1000</v>
      </c>
      <c r="E77" s="4">
        <f t="shared" si="1"/>
        <v>120100</v>
      </c>
    </row>
    <row r="78" spans="1:5" x14ac:dyDescent="0.2">
      <c r="A78" s="3">
        <v>42832</v>
      </c>
      <c r="B78" s="24" t="s">
        <v>12</v>
      </c>
      <c r="C78" s="4" t="s">
        <v>9</v>
      </c>
      <c r="D78" s="8">
        <v>-1000</v>
      </c>
      <c r="E78" s="4">
        <f t="shared" si="1"/>
        <v>119100</v>
      </c>
    </row>
    <row r="79" spans="1:5" x14ac:dyDescent="0.2">
      <c r="A79" s="3">
        <v>42832</v>
      </c>
      <c r="B79" s="18">
        <v>12546763</v>
      </c>
      <c r="C79" s="4" t="s">
        <v>5</v>
      </c>
      <c r="D79" s="8">
        <v>-100000</v>
      </c>
      <c r="E79" s="4">
        <f t="shared" si="1"/>
        <v>19100</v>
      </c>
    </row>
    <row r="80" spans="1:5" x14ac:dyDescent="0.2">
      <c r="A80" s="3">
        <v>42832</v>
      </c>
      <c r="B80" s="18">
        <v>12546764</v>
      </c>
      <c r="C80" s="4" t="s">
        <v>7</v>
      </c>
      <c r="D80" s="8">
        <v>-20000</v>
      </c>
      <c r="E80" s="4">
        <f t="shared" si="1"/>
        <v>-900</v>
      </c>
    </row>
    <row r="81" spans="1:5" x14ac:dyDescent="0.2">
      <c r="A81" s="3">
        <v>42856</v>
      </c>
      <c r="B81" s="24" t="s">
        <v>101</v>
      </c>
      <c r="C81" s="4" t="s">
        <v>99</v>
      </c>
      <c r="D81" s="8">
        <v>10000</v>
      </c>
      <c r="E81" s="4">
        <f t="shared" si="1"/>
        <v>9100</v>
      </c>
    </row>
    <row r="82" spans="1:5" x14ac:dyDescent="0.2">
      <c r="A82" s="3">
        <v>42856</v>
      </c>
      <c r="B82" s="24" t="s">
        <v>102</v>
      </c>
      <c r="C82" s="4" t="s">
        <v>99</v>
      </c>
      <c r="D82" s="8">
        <v>10000</v>
      </c>
      <c r="E82" s="4">
        <f t="shared" si="1"/>
        <v>19100</v>
      </c>
    </row>
    <row r="83" spans="1:5" x14ac:dyDescent="0.2">
      <c r="A83" s="3">
        <v>42856</v>
      </c>
      <c r="B83" s="24" t="s">
        <v>103</v>
      </c>
      <c r="C83" s="4" t="s">
        <v>99</v>
      </c>
      <c r="D83" s="8">
        <v>10000</v>
      </c>
      <c r="E83" s="4">
        <f t="shared" si="1"/>
        <v>29100</v>
      </c>
    </row>
    <row r="84" spans="1:5" x14ac:dyDescent="0.2">
      <c r="A84" s="3">
        <v>42856</v>
      </c>
      <c r="B84" s="24" t="s">
        <v>104</v>
      </c>
      <c r="C84" s="4" t="s">
        <v>99</v>
      </c>
      <c r="D84" s="8">
        <v>10000</v>
      </c>
      <c r="E84" s="4">
        <f t="shared" si="1"/>
        <v>39100</v>
      </c>
    </row>
    <row r="85" spans="1:5" x14ac:dyDescent="0.2">
      <c r="A85" s="3">
        <v>42856</v>
      </c>
      <c r="B85" s="24" t="s">
        <v>105</v>
      </c>
      <c r="C85" s="4" t="s">
        <v>99</v>
      </c>
      <c r="D85" s="8">
        <v>10000</v>
      </c>
      <c r="E85" s="4">
        <f t="shared" si="1"/>
        <v>49100</v>
      </c>
    </row>
    <row r="86" spans="1:5" x14ac:dyDescent="0.2">
      <c r="A86" s="3">
        <v>42856</v>
      </c>
      <c r="B86" s="24" t="s">
        <v>106</v>
      </c>
      <c r="C86" s="4" t="s">
        <v>99</v>
      </c>
      <c r="D86" s="8">
        <v>10000</v>
      </c>
      <c r="E86" s="4">
        <f t="shared" si="1"/>
        <v>59100</v>
      </c>
    </row>
    <row r="87" spans="1:5" x14ac:dyDescent="0.2">
      <c r="A87" s="3">
        <v>42856</v>
      </c>
      <c r="B87" s="24" t="s">
        <v>107</v>
      </c>
      <c r="C87" s="4" t="s">
        <v>99</v>
      </c>
      <c r="D87" s="8">
        <v>10000</v>
      </c>
      <c r="E87" s="4">
        <f t="shared" si="1"/>
        <v>69100</v>
      </c>
    </row>
    <row r="88" spans="1:5" x14ac:dyDescent="0.2">
      <c r="A88" s="3">
        <v>42856</v>
      </c>
      <c r="B88" s="24" t="s">
        <v>108</v>
      </c>
      <c r="C88" s="4" t="s">
        <v>99</v>
      </c>
      <c r="D88" s="8">
        <v>10000</v>
      </c>
      <c r="E88" s="4">
        <f t="shared" si="1"/>
        <v>79100</v>
      </c>
    </row>
    <row r="89" spans="1:5" x14ac:dyDescent="0.2">
      <c r="A89" s="3">
        <v>42856</v>
      </c>
      <c r="B89" s="24" t="s">
        <v>109</v>
      </c>
      <c r="C89" s="4" t="s">
        <v>99</v>
      </c>
      <c r="D89" s="8">
        <v>10000</v>
      </c>
      <c r="E89" s="4">
        <f t="shared" si="1"/>
        <v>89100</v>
      </c>
    </row>
    <row r="90" spans="1:5" x14ac:dyDescent="0.2">
      <c r="A90" s="3">
        <v>42856</v>
      </c>
      <c r="B90" s="24" t="s">
        <v>110</v>
      </c>
      <c r="C90" s="4" t="s">
        <v>99</v>
      </c>
      <c r="D90" s="8">
        <v>10000</v>
      </c>
      <c r="E90" s="4">
        <f t="shared" si="1"/>
        <v>99100</v>
      </c>
    </row>
    <row r="91" spans="1:5" x14ac:dyDescent="0.2">
      <c r="A91" s="3">
        <v>42856</v>
      </c>
      <c r="B91" s="24" t="s">
        <v>111</v>
      </c>
      <c r="C91" s="4" t="s">
        <v>99</v>
      </c>
      <c r="D91" s="8">
        <v>10000</v>
      </c>
      <c r="E91" s="4">
        <f t="shared" si="1"/>
        <v>109100</v>
      </c>
    </row>
    <row r="92" spans="1:5" x14ac:dyDescent="0.2">
      <c r="A92" s="3">
        <v>42856</v>
      </c>
      <c r="B92" s="24" t="s">
        <v>112</v>
      </c>
      <c r="C92" s="4" t="s">
        <v>99</v>
      </c>
      <c r="D92" s="8">
        <v>10000</v>
      </c>
      <c r="E92" s="4">
        <f t="shared" si="1"/>
        <v>119100</v>
      </c>
    </row>
    <row r="93" spans="1:5" x14ac:dyDescent="0.2">
      <c r="A93" s="3">
        <v>42859</v>
      </c>
      <c r="B93" s="24" t="s">
        <v>113</v>
      </c>
      <c r="C93" s="4" t="s">
        <v>97</v>
      </c>
      <c r="D93" s="8">
        <v>10000</v>
      </c>
      <c r="E93" s="4">
        <f t="shared" si="1"/>
        <v>129100</v>
      </c>
    </row>
    <row r="94" spans="1:5" x14ac:dyDescent="0.2">
      <c r="A94" s="3">
        <v>42859</v>
      </c>
      <c r="B94" s="24" t="s">
        <v>114</v>
      </c>
      <c r="C94" s="4" t="s">
        <v>96</v>
      </c>
      <c r="D94" s="8">
        <v>9500</v>
      </c>
      <c r="E94" s="4">
        <f t="shared" si="1"/>
        <v>138600</v>
      </c>
    </row>
    <row r="95" spans="1:5" x14ac:dyDescent="0.2">
      <c r="A95" s="3">
        <v>42859</v>
      </c>
      <c r="B95" s="24" t="s">
        <v>115</v>
      </c>
      <c r="C95" s="4" t="s">
        <v>96</v>
      </c>
      <c r="D95" s="8">
        <v>10000</v>
      </c>
      <c r="E95" s="4">
        <f t="shared" si="1"/>
        <v>148600</v>
      </c>
    </row>
    <row r="96" spans="1:5" s="6" customFormat="1" x14ac:dyDescent="0.2">
      <c r="A96" s="5">
        <v>42859</v>
      </c>
      <c r="B96" s="24" t="s">
        <v>116</v>
      </c>
      <c r="C96" s="6" t="s">
        <v>100</v>
      </c>
      <c r="D96" s="9">
        <v>10000</v>
      </c>
      <c r="E96" s="4">
        <f t="shared" si="1"/>
        <v>158600</v>
      </c>
    </row>
    <row r="97" spans="1:5" x14ac:dyDescent="0.2">
      <c r="A97" s="3">
        <v>42865</v>
      </c>
      <c r="B97" s="24" t="s">
        <v>13</v>
      </c>
      <c r="C97" s="4" t="s">
        <v>8</v>
      </c>
      <c r="D97" s="8">
        <v>-1000</v>
      </c>
      <c r="E97" s="4">
        <f t="shared" si="1"/>
        <v>157600</v>
      </c>
    </row>
    <row r="98" spans="1:5" x14ac:dyDescent="0.2">
      <c r="A98" s="3">
        <v>42865</v>
      </c>
      <c r="B98" s="24" t="s">
        <v>14</v>
      </c>
      <c r="C98" s="4" t="s">
        <v>8</v>
      </c>
      <c r="D98" s="8">
        <v>-1000</v>
      </c>
      <c r="E98" s="4">
        <f t="shared" si="1"/>
        <v>156600</v>
      </c>
    </row>
    <row r="99" spans="1:5" x14ac:dyDescent="0.2">
      <c r="A99" s="3">
        <v>42865</v>
      </c>
      <c r="B99" s="24" t="s">
        <v>15</v>
      </c>
      <c r="C99" s="4" t="s">
        <v>8</v>
      </c>
      <c r="D99" s="8">
        <v>-1000</v>
      </c>
      <c r="E99" s="4">
        <f t="shared" si="1"/>
        <v>155600</v>
      </c>
    </row>
    <row r="100" spans="1:5" x14ac:dyDescent="0.2">
      <c r="A100" s="3">
        <v>42865</v>
      </c>
      <c r="B100" s="24" t="s">
        <v>16</v>
      </c>
      <c r="C100" s="4" t="s">
        <v>8</v>
      </c>
      <c r="D100" s="8">
        <v>-1000</v>
      </c>
      <c r="E100" s="4">
        <f t="shared" si="1"/>
        <v>154600</v>
      </c>
    </row>
    <row r="101" spans="1:5" x14ac:dyDescent="0.2">
      <c r="A101" s="3">
        <v>42865</v>
      </c>
      <c r="B101" s="24" t="s">
        <v>17</v>
      </c>
      <c r="C101" s="4" t="s">
        <v>5</v>
      </c>
      <c r="D101" s="8">
        <v>-30000</v>
      </c>
      <c r="E101" s="4">
        <f t="shared" si="1"/>
        <v>124600</v>
      </c>
    </row>
    <row r="102" spans="1:5" x14ac:dyDescent="0.2">
      <c r="A102" s="3">
        <v>42867</v>
      </c>
      <c r="B102" s="24" t="s">
        <v>18</v>
      </c>
      <c r="C102" s="4" t="s">
        <v>19</v>
      </c>
      <c r="D102" s="8">
        <v>-10000</v>
      </c>
      <c r="E102" s="4">
        <f t="shared" si="1"/>
        <v>114600</v>
      </c>
    </row>
    <row r="103" spans="1:5" x14ac:dyDescent="0.2">
      <c r="A103" s="3">
        <v>42867</v>
      </c>
      <c r="B103" s="24" t="s">
        <v>20</v>
      </c>
      <c r="C103" s="4" t="s">
        <v>9</v>
      </c>
      <c r="D103" s="8">
        <v>-1000</v>
      </c>
      <c r="E103" s="4">
        <f t="shared" si="1"/>
        <v>113600</v>
      </c>
    </row>
    <row r="104" spans="1:5" x14ac:dyDescent="0.2">
      <c r="A104" s="3">
        <v>42867</v>
      </c>
      <c r="B104" s="24" t="s">
        <v>21</v>
      </c>
      <c r="C104" s="4" t="s">
        <v>9</v>
      </c>
      <c r="D104" s="8">
        <v>-1000</v>
      </c>
      <c r="E104" s="4">
        <f t="shared" si="1"/>
        <v>112600</v>
      </c>
    </row>
    <row r="105" spans="1:5" x14ac:dyDescent="0.2">
      <c r="A105" s="3">
        <v>42867</v>
      </c>
      <c r="B105" s="24" t="s">
        <v>22</v>
      </c>
      <c r="C105" s="4" t="s">
        <v>9</v>
      </c>
      <c r="D105" s="8">
        <v>-1000</v>
      </c>
      <c r="E105" s="4">
        <f t="shared" si="1"/>
        <v>111600</v>
      </c>
    </row>
    <row r="106" spans="1:5" x14ac:dyDescent="0.2">
      <c r="A106" s="3">
        <v>42868</v>
      </c>
      <c r="B106" s="24" t="s">
        <v>23</v>
      </c>
      <c r="C106" s="4" t="s">
        <v>8</v>
      </c>
      <c r="D106" s="8">
        <v>-1000</v>
      </c>
      <c r="E106" s="4">
        <f t="shared" si="1"/>
        <v>110600</v>
      </c>
    </row>
    <row r="107" spans="1:5" x14ac:dyDescent="0.2">
      <c r="A107" s="3">
        <v>42868</v>
      </c>
      <c r="B107" s="24" t="s">
        <v>24</v>
      </c>
      <c r="C107" s="4" t="s">
        <v>25</v>
      </c>
      <c r="D107" s="8">
        <v>-20000</v>
      </c>
      <c r="E107" s="4">
        <f t="shared" si="1"/>
        <v>90600</v>
      </c>
    </row>
    <row r="108" spans="1:5" x14ac:dyDescent="0.2">
      <c r="A108" s="3">
        <v>42868</v>
      </c>
      <c r="B108" s="24" t="s">
        <v>26</v>
      </c>
      <c r="C108" s="4" t="s">
        <v>7</v>
      </c>
      <c r="D108" s="8">
        <v>-25000</v>
      </c>
      <c r="E108" s="4">
        <f t="shared" si="1"/>
        <v>65600</v>
      </c>
    </row>
    <row r="109" spans="1:5" x14ac:dyDescent="0.2">
      <c r="A109" s="3">
        <v>42890</v>
      </c>
      <c r="B109" s="24" t="s">
        <v>117</v>
      </c>
      <c r="C109" s="4" t="s">
        <v>96</v>
      </c>
      <c r="D109" s="8">
        <v>10000</v>
      </c>
      <c r="E109" s="4">
        <f t="shared" si="1"/>
        <v>75600</v>
      </c>
    </row>
    <row r="110" spans="1:5" x14ac:dyDescent="0.2">
      <c r="A110" s="3">
        <v>42890</v>
      </c>
      <c r="B110" s="24" t="s">
        <v>118</v>
      </c>
      <c r="C110" s="4" t="s">
        <v>119</v>
      </c>
      <c r="D110" s="8">
        <v>150000</v>
      </c>
      <c r="E110" s="4">
        <f t="shared" si="1"/>
        <v>225600</v>
      </c>
    </row>
    <row r="111" spans="1:5" x14ac:dyDescent="0.2">
      <c r="A111" s="3">
        <v>42890</v>
      </c>
      <c r="B111" s="24" t="s">
        <v>120</v>
      </c>
      <c r="C111" s="4" t="s">
        <v>100</v>
      </c>
      <c r="D111" s="8">
        <v>9500</v>
      </c>
      <c r="E111" s="4">
        <f t="shared" si="1"/>
        <v>235100</v>
      </c>
    </row>
    <row r="112" spans="1:5" x14ac:dyDescent="0.2">
      <c r="A112" s="3">
        <v>42890</v>
      </c>
      <c r="B112" s="24" t="s">
        <v>121</v>
      </c>
      <c r="C112" s="4" t="s">
        <v>98</v>
      </c>
      <c r="D112" s="8">
        <v>9500</v>
      </c>
      <c r="E112" s="4">
        <f t="shared" si="1"/>
        <v>244600</v>
      </c>
    </row>
    <row r="113" spans="1:5" x14ac:dyDescent="0.2">
      <c r="A113" s="3">
        <v>42890</v>
      </c>
      <c r="B113" s="24" t="s">
        <v>122</v>
      </c>
      <c r="C113" s="4" t="s">
        <v>98</v>
      </c>
      <c r="D113" s="8">
        <v>10000</v>
      </c>
      <c r="E113" s="4">
        <f t="shared" si="1"/>
        <v>254600</v>
      </c>
    </row>
    <row r="114" spans="1:5" x14ac:dyDescent="0.2">
      <c r="A114" s="3">
        <v>42890</v>
      </c>
      <c r="B114" s="24" t="s">
        <v>123</v>
      </c>
      <c r="C114" s="4" t="s">
        <v>98</v>
      </c>
      <c r="D114" s="8">
        <v>10000</v>
      </c>
      <c r="E114" s="4">
        <f t="shared" si="1"/>
        <v>264600</v>
      </c>
    </row>
    <row r="115" spans="1:5" x14ac:dyDescent="0.2">
      <c r="A115" s="3">
        <v>42892</v>
      </c>
      <c r="B115" s="24" t="s">
        <v>124</v>
      </c>
      <c r="C115" s="4" t="s">
        <v>99</v>
      </c>
      <c r="D115" s="8">
        <v>10000</v>
      </c>
      <c r="E115" s="4">
        <f t="shared" si="1"/>
        <v>274600</v>
      </c>
    </row>
    <row r="116" spans="1:5" x14ac:dyDescent="0.2">
      <c r="A116" s="3">
        <v>42892</v>
      </c>
      <c r="B116" s="24" t="s">
        <v>125</v>
      </c>
      <c r="C116" s="4" t="s">
        <v>99</v>
      </c>
      <c r="D116" s="8">
        <v>10000</v>
      </c>
      <c r="E116" s="4">
        <f t="shared" si="1"/>
        <v>284600</v>
      </c>
    </row>
    <row r="117" spans="1:5" x14ac:dyDescent="0.2">
      <c r="A117" s="3">
        <v>42892</v>
      </c>
      <c r="B117" s="24" t="s">
        <v>126</v>
      </c>
      <c r="C117" s="4" t="s">
        <v>97</v>
      </c>
      <c r="D117" s="8">
        <v>10000</v>
      </c>
      <c r="E117" s="4">
        <f t="shared" si="1"/>
        <v>294600</v>
      </c>
    </row>
    <row r="118" spans="1:5" x14ac:dyDescent="0.2">
      <c r="A118" s="3">
        <v>42892</v>
      </c>
      <c r="B118" s="24" t="s">
        <v>127</v>
      </c>
      <c r="C118" s="4" t="s">
        <v>97</v>
      </c>
      <c r="D118" s="8">
        <v>10000</v>
      </c>
      <c r="E118" s="4">
        <f t="shared" si="1"/>
        <v>304600</v>
      </c>
    </row>
    <row r="119" spans="1:5" x14ac:dyDescent="0.2">
      <c r="A119" s="3">
        <v>42892</v>
      </c>
      <c r="B119" s="24" t="s">
        <v>128</v>
      </c>
      <c r="C119" s="4" t="s">
        <v>97</v>
      </c>
      <c r="D119" s="8">
        <v>9500</v>
      </c>
      <c r="E119" s="4">
        <f t="shared" si="1"/>
        <v>314100</v>
      </c>
    </row>
    <row r="120" spans="1:5" x14ac:dyDescent="0.2">
      <c r="A120" s="3">
        <v>42892</v>
      </c>
      <c r="B120" s="24" t="s">
        <v>129</v>
      </c>
      <c r="C120" s="4" t="s">
        <v>97</v>
      </c>
      <c r="D120" s="8">
        <v>9500</v>
      </c>
      <c r="E120" s="4">
        <f t="shared" si="1"/>
        <v>323600</v>
      </c>
    </row>
    <row r="121" spans="1:5" x14ac:dyDescent="0.2">
      <c r="A121" s="3">
        <v>42892</v>
      </c>
      <c r="B121" s="24" t="s">
        <v>130</v>
      </c>
      <c r="C121" s="4" t="s">
        <v>97</v>
      </c>
      <c r="D121" s="8">
        <v>9500</v>
      </c>
      <c r="E121" s="4">
        <f t="shared" si="1"/>
        <v>333100</v>
      </c>
    </row>
    <row r="122" spans="1:5" x14ac:dyDescent="0.2">
      <c r="A122" s="3">
        <v>42892</v>
      </c>
      <c r="B122" s="24" t="s">
        <v>131</v>
      </c>
      <c r="C122" s="4" t="s">
        <v>97</v>
      </c>
      <c r="D122" s="8">
        <v>9500</v>
      </c>
      <c r="E122" s="4">
        <f t="shared" si="1"/>
        <v>342600</v>
      </c>
    </row>
    <row r="123" spans="1:5" x14ac:dyDescent="0.2">
      <c r="A123" s="3">
        <v>42892</v>
      </c>
      <c r="B123" s="24" t="s">
        <v>132</v>
      </c>
      <c r="C123" s="4" t="s">
        <v>97</v>
      </c>
      <c r="D123" s="8">
        <v>9500</v>
      </c>
      <c r="E123" s="4">
        <f t="shared" si="1"/>
        <v>352100</v>
      </c>
    </row>
    <row r="124" spans="1:5" x14ac:dyDescent="0.2">
      <c r="A124" s="3">
        <v>42898</v>
      </c>
      <c r="B124" s="24" t="s">
        <v>27</v>
      </c>
      <c r="C124" s="4" t="s">
        <v>5</v>
      </c>
      <c r="D124" s="8">
        <v>-75000</v>
      </c>
      <c r="E124" s="4">
        <f t="shared" si="1"/>
        <v>277100</v>
      </c>
    </row>
    <row r="125" spans="1:5" x14ac:dyDescent="0.2">
      <c r="A125" s="3">
        <v>42898</v>
      </c>
      <c r="B125" s="24" t="s">
        <v>28</v>
      </c>
      <c r="C125" s="4" t="s">
        <v>6</v>
      </c>
      <c r="D125" s="8">
        <v>-25000</v>
      </c>
      <c r="E125" s="4">
        <f t="shared" si="1"/>
        <v>252100</v>
      </c>
    </row>
    <row r="126" spans="1:5" x14ac:dyDescent="0.2">
      <c r="A126" s="3">
        <v>42898</v>
      </c>
      <c r="B126" s="24" t="s">
        <v>29</v>
      </c>
      <c r="C126" s="4" t="s">
        <v>7</v>
      </c>
      <c r="D126" s="8">
        <v>-50000</v>
      </c>
      <c r="E126" s="4">
        <f t="shared" si="1"/>
        <v>202100</v>
      </c>
    </row>
    <row r="127" spans="1:5" x14ac:dyDescent="0.2">
      <c r="A127" s="3">
        <v>42900</v>
      </c>
      <c r="B127" s="24" t="s">
        <v>30</v>
      </c>
      <c r="C127" s="4" t="s">
        <v>19</v>
      </c>
      <c r="D127" s="8">
        <v>-30000</v>
      </c>
      <c r="E127" s="4">
        <f t="shared" si="1"/>
        <v>172100</v>
      </c>
    </row>
    <row r="128" spans="1:5" x14ac:dyDescent="0.2">
      <c r="A128" s="3">
        <v>42900</v>
      </c>
      <c r="B128" s="24" t="s">
        <v>31</v>
      </c>
      <c r="C128" s="4" t="s">
        <v>32</v>
      </c>
      <c r="D128" s="8">
        <v>-50000</v>
      </c>
      <c r="E128" s="4">
        <f t="shared" si="1"/>
        <v>122100</v>
      </c>
    </row>
    <row r="129" spans="1:5" x14ac:dyDescent="0.2">
      <c r="A129" s="3">
        <v>42900</v>
      </c>
      <c r="B129" s="24" t="s">
        <v>33</v>
      </c>
      <c r="C129" s="4" t="s">
        <v>9</v>
      </c>
      <c r="D129" s="8">
        <v>-1000</v>
      </c>
      <c r="E129" s="4">
        <f t="shared" si="1"/>
        <v>121100</v>
      </c>
    </row>
    <row r="130" spans="1:5" x14ac:dyDescent="0.2">
      <c r="A130" s="3">
        <v>42900</v>
      </c>
      <c r="B130" s="24" t="s">
        <v>34</v>
      </c>
      <c r="C130" s="4" t="s">
        <v>35</v>
      </c>
      <c r="D130" s="8">
        <v>-75000</v>
      </c>
      <c r="E130" s="4">
        <f t="shared" si="1"/>
        <v>46100</v>
      </c>
    </row>
    <row r="131" spans="1:5" x14ac:dyDescent="0.2">
      <c r="A131" s="3">
        <v>42900</v>
      </c>
      <c r="B131" s="24" t="s">
        <v>36</v>
      </c>
      <c r="C131" s="4" t="s">
        <v>37</v>
      </c>
      <c r="D131" s="8">
        <v>-25000</v>
      </c>
      <c r="E131" s="4">
        <f t="shared" si="1"/>
        <v>21100</v>
      </c>
    </row>
    <row r="132" spans="1:5" x14ac:dyDescent="0.2">
      <c r="A132" s="3">
        <v>42919</v>
      </c>
      <c r="B132" s="24" t="s">
        <v>133</v>
      </c>
      <c r="C132" s="4" t="s">
        <v>96</v>
      </c>
      <c r="D132" s="8">
        <v>9500</v>
      </c>
      <c r="E132" s="4">
        <f t="shared" si="1"/>
        <v>30600</v>
      </c>
    </row>
    <row r="133" spans="1:5" x14ac:dyDescent="0.2">
      <c r="A133" s="3">
        <v>42919</v>
      </c>
      <c r="B133" s="24" t="s">
        <v>134</v>
      </c>
      <c r="C133" s="4" t="s">
        <v>96</v>
      </c>
      <c r="D133" s="8">
        <v>10000</v>
      </c>
      <c r="E133" s="4">
        <f t="shared" si="1"/>
        <v>40600</v>
      </c>
    </row>
    <row r="134" spans="1:5" x14ac:dyDescent="0.2">
      <c r="A134" s="3">
        <v>42919</v>
      </c>
      <c r="B134" s="24" t="s">
        <v>135</v>
      </c>
      <c r="C134" s="4" t="s">
        <v>119</v>
      </c>
      <c r="D134" s="8">
        <v>160000</v>
      </c>
      <c r="E134" s="4">
        <f t="shared" si="1"/>
        <v>200600</v>
      </c>
    </row>
    <row r="135" spans="1:5" x14ac:dyDescent="0.2">
      <c r="A135" s="3">
        <v>42919</v>
      </c>
      <c r="B135" s="24" t="s">
        <v>136</v>
      </c>
      <c r="C135" s="4" t="s">
        <v>98</v>
      </c>
      <c r="D135" s="8">
        <v>12000</v>
      </c>
      <c r="E135" s="4">
        <f t="shared" si="1"/>
        <v>212600</v>
      </c>
    </row>
    <row r="136" spans="1:5" x14ac:dyDescent="0.2">
      <c r="A136" s="3">
        <v>42921</v>
      </c>
      <c r="B136" s="24" t="s">
        <v>137</v>
      </c>
      <c r="C136" s="4" t="s">
        <v>98</v>
      </c>
      <c r="D136" s="8">
        <v>9500</v>
      </c>
      <c r="E136" s="4">
        <f t="shared" ref="E136:E199" si="2">E135+D136</f>
        <v>222100</v>
      </c>
    </row>
    <row r="137" spans="1:5" x14ac:dyDescent="0.2">
      <c r="A137" s="3">
        <v>42921</v>
      </c>
      <c r="B137" s="24" t="s">
        <v>138</v>
      </c>
      <c r="C137" s="4" t="s">
        <v>98</v>
      </c>
      <c r="D137" s="8">
        <v>10000</v>
      </c>
      <c r="E137" s="4">
        <f t="shared" si="2"/>
        <v>232100</v>
      </c>
    </row>
    <row r="138" spans="1:5" x14ac:dyDescent="0.2">
      <c r="A138" s="3">
        <v>42921</v>
      </c>
      <c r="B138" s="24" t="s">
        <v>139</v>
      </c>
      <c r="C138" s="4" t="s">
        <v>99</v>
      </c>
      <c r="D138" s="8">
        <v>10000</v>
      </c>
      <c r="E138" s="4">
        <f t="shared" si="2"/>
        <v>242100</v>
      </c>
    </row>
    <row r="139" spans="1:5" x14ac:dyDescent="0.2">
      <c r="A139" s="3">
        <v>42923</v>
      </c>
      <c r="B139" s="24" t="s">
        <v>140</v>
      </c>
      <c r="C139" s="4" t="s">
        <v>99</v>
      </c>
      <c r="D139" s="8">
        <v>10000</v>
      </c>
      <c r="E139" s="4">
        <f t="shared" si="2"/>
        <v>252100</v>
      </c>
    </row>
    <row r="140" spans="1:5" x14ac:dyDescent="0.2">
      <c r="A140" s="3">
        <v>42923</v>
      </c>
      <c r="B140" s="24" t="s">
        <v>141</v>
      </c>
      <c r="C140" s="4" t="s">
        <v>97</v>
      </c>
      <c r="D140" s="8">
        <v>10000</v>
      </c>
      <c r="E140" s="4">
        <f t="shared" si="2"/>
        <v>262100</v>
      </c>
    </row>
    <row r="141" spans="1:5" x14ac:dyDescent="0.2">
      <c r="A141" s="3">
        <v>42923</v>
      </c>
      <c r="B141" s="24" t="s">
        <v>142</v>
      </c>
      <c r="C141" s="4" t="s">
        <v>97</v>
      </c>
      <c r="D141" s="8">
        <v>9500</v>
      </c>
      <c r="E141" s="4">
        <f t="shared" si="2"/>
        <v>271600</v>
      </c>
    </row>
    <row r="142" spans="1:5" x14ac:dyDescent="0.2">
      <c r="A142" s="3">
        <v>42923</v>
      </c>
      <c r="B142" s="24" t="s">
        <v>143</v>
      </c>
      <c r="C142" s="4" t="s">
        <v>97</v>
      </c>
      <c r="D142" s="8">
        <v>9500</v>
      </c>
      <c r="E142" s="4">
        <f t="shared" si="2"/>
        <v>281100</v>
      </c>
    </row>
    <row r="143" spans="1:5" x14ac:dyDescent="0.2">
      <c r="A143" s="3">
        <v>42923</v>
      </c>
      <c r="B143" s="24" t="s">
        <v>144</v>
      </c>
      <c r="C143" s="4" t="s">
        <v>97</v>
      </c>
      <c r="D143" s="8">
        <v>9500</v>
      </c>
      <c r="E143" s="4">
        <f t="shared" si="2"/>
        <v>290600</v>
      </c>
    </row>
    <row r="144" spans="1:5" x14ac:dyDescent="0.2">
      <c r="A144" s="3">
        <v>42923</v>
      </c>
      <c r="B144" s="24" t="s">
        <v>145</v>
      </c>
      <c r="C144" s="4" t="s">
        <v>97</v>
      </c>
      <c r="D144" s="8">
        <v>10000</v>
      </c>
      <c r="E144" s="4">
        <f t="shared" si="2"/>
        <v>300600</v>
      </c>
    </row>
    <row r="145" spans="1:5" x14ac:dyDescent="0.2">
      <c r="A145" s="3">
        <v>42926</v>
      </c>
      <c r="B145" s="24" t="s">
        <v>38</v>
      </c>
      <c r="C145" s="4" t="s">
        <v>5</v>
      </c>
      <c r="D145" s="8">
        <v>-30000</v>
      </c>
      <c r="E145" s="4">
        <f t="shared" si="2"/>
        <v>270600</v>
      </c>
    </row>
    <row r="146" spans="1:5" x14ac:dyDescent="0.2">
      <c r="A146" s="3">
        <v>42926</v>
      </c>
      <c r="B146" s="24" t="s">
        <v>39</v>
      </c>
      <c r="C146" s="4" t="s">
        <v>37</v>
      </c>
      <c r="D146" s="8">
        <v>-25000</v>
      </c>
      <c r="E146" s="4">
        <f t="shared" si="2"/>
        <v>245600</v>
      </c>
    </row>
    <row r="147" spans="1:5" x14ac:dyDescent="0.2">
      <c r="A147" s="3">
        <v>42926</v>
      </c>
      <c r="B147" s="24" t="s">
        <v>40</v>
      </c>
      <c r="C147" s="4" t="s">
        <v>6</v>
      </c>
      <c r="D147" s="8">
        <v>-30000</v>
      </c>
      <c r="E147" s="4">
        <f t="shared" si="2"/>
        <v>215600</v>
      </c>
    </row>
    <row r="148" spans="1:5" x14ac:dyDescent="0.2">
      <c r="A148" s="3">
        <v>42926</v>
      </c>
      <c r="B148" s="24" t="s">
        <v>41</v>
      </c>
      <c r="C148" s="4" t="s">
        <v>7</v>
      </c>
      <c r="D148" s="8">
        <v>-24000</v>
      </c>
      <c r="E148" s="4">
        <f t="shared" si="2"/>
        <v>191600</v>
      </c>
    </row>
    <row r="149" spans="1:5" x14ac:dyDescent="0.2">
      <c r="A149" s="3">
        <v>42928</v>
      </c>
      <c r="B149" s="24" t="s">
        <v>42</v>
      </c>
      <c r="C149" s="4" t="s">
        <v>19</v>
      </c>
      <c r="D149" s="8">
        <v>-20000</v>
      </c>
      <c r="E149" s="4">
        <f t="shared" si="2"/>
        <v>171600</v>
      </c>
    </row>
    <row r="150" spans="1:5" x14ac:dyDescent="0.2">
      <c r="A150" s="3">
        <v>42928</v>
      </c>
      <c r="B150" s="24" t="s">
        <v>43</v>
      </c>
      <c r="C150" s="4" t="s">
        <v>32</v>
      </c>
      <c r="D150" s="8">
        <v>-55000</v>
      </c>
      <c r="E150" s="4">
        <f t="shared" si="2"/>
        <v>116600</v>
      </c>
    </row>
    <row r="151" spans="1:5" x14ac:dyDescent="0.2">
      <c r="A151" s="3">
        <v>42928</v>
      </c>
      <c r="B151" s="24" t="s">
        <v>44</v>
      </c>
      <c r="C151" s="4" t="s">
        <v>9</v>
      </c>
      <c r="D151" s="8">
        <v>-1000</v>
      </c>
      <c r="E151" s="4">
        <f t="shared" si="2"/>
        <v>115600</v>
      </c>
    </row>
    <row r="152" spans="1:5" x14ac:dyDescent="0.2">
      <c r="A152" s="3">
        <v>42928</v>
      </c>
      <c r="B152" s="24" t="s">
        <v>45</v>
      </c>
      <c r="C152" s="4" t="s">
        <v>9</v>
      </c>
      <c r="D152" s="8">
        <v>-1000</v>
      </c>
      <c r="E152" s="4">
        <f t="shared" si="2"/>
        <v>114600</v>
      </c>
    </row>
    <row r="153" spans="1:5" x14ac:dyDescent="0.2">
      <c r="A153" s="3">
        <v>42928</v>
      </c>
      <c r="B153" s="24" t="s">
        <v>46</v>
      </c>
      <c r="C153" s="4" t="s">
        <v>35</v>
      </c>
      <c r="D153" s="8">
        <v>-100000</v>
      </c>
      <c r="E153" s="4">
        <f t="shared" si="2"/>
        <v>14600</v>
      </c>
    </row>
    <row r="154" spans="1:5" x14ac:dyDescent="0.2">
      <c r="A154" s="3">
        <v>42930</v>
      </c>
      <c r="B154" s="24" t="s">
        <v>47</v>
      </c>
      <c r="C154" s="4" t="s">
        <v>9</v>
      </c>
      <c r="D154" s="8">
        <v>-1000</v>
      </c>
      <c r="E154" s="4">
        <f t="shared" si="2"/>
        <v>13600</v>
      </c>
    </row>
    <row r="155" spans="1:5" x14ac:dyDescent="0.2">
      <c r="A155" s="3">
        <v>42930</v>
      </c>
      <c r="B155" s="24" t="s">
        <v>48</v>
      </c>
      <c r="C155" s="4" t="s">
        <v>9</v>
      </c>
      <c r="D155" s="8">
        <v>-1000</v>
      </c>
      <c r="E155" s="4">
        <f t="shared" si="2"/>
        <v>12600</v>
      </c>
    </row>
    <row r="156" spans="1:5" x14ac:dyDescent="0.2">
      <c r="A156" s="3">
        <v>42930</v>
      </c>
      <c r="B156" s="24" t="s">
        <v>49</v>
      </c>
      <c r="C156" s="4" t="s">
        <v>9</v>
      </c>
      <c r="D156" s="8">
        <v>-1000</v>
      </c>
      <c r="E156" s="4">
        <f t="shared" si="2"/>
        <v>11600</v>
      </c>
    </row>
    <row r="157" spans="1:5" x14ac:dyDescent="0.2">
      <c r="A157" s="3">
        <v>42948</v>
      </c>
      <c r="B157" s="24" t="s">
        <v>146</v>
      </c>
      <c r="C157" s="4" t="s">
        <v>119</v>
      </c>
      <c r="D157" s="8">
        <v>250000</v>
      </c>
      <c r="E157" s="4">
        <f t="shared" si="2"/>
        <v>261600</v>
      </c>
    </row>
    <row r="158" spans="1:5" x14ac:dyDescent="0.2">
      <c r="A158" s="3">
        <v>42948</v>
      </c>
      <c r="B158" s="24" t="s">
        <v>147</v>
      </c>
      <c r="C158" s="4" t="s">
        <v>96</v>
      </c>
      <c r="D158" s="8">
        <v>10000</v>
      </c>
      <c r="E158" s="4">
        <f t="shared" si="2"/>
        <v>271600</v>
      </c>
    </row>
    <row r="159" spans="1:5" x14ac:dyDescent="0.2">
      <c r="A159" s="3">
        <v>42948</v>
      </c>
      <c r="B159" s="24" t="s">
        <v>148</v>
      </c>
      <c r="C159" s="4" t="s">
        <v>100</v>
      </c>
      <c r="D159" s="8">
        <v>10000</v>
      </c>
      <c r="E159" s="4">
        <f t="shared" si="2"/>
        <v>281600</v>
      </c>
    </row>
    <row r="160" spans="1:5" x14ac:dyDescent="0.2">
      <c r="A160" s="3">
        <v>42948</v>
      </c>
      <c r="B160" s="24" t="s">
        <v>149</v>
      </c>
      <c r="C160" s="4" t="s">
        <v>98</v>
      </c>
      <c r="D160" s="8">
        <v>10000</v>
      </c>
      <c r="E160" s="4">
        <f t="shared" si="2"/>
        <v>291600</v>
      </c>
    </row>
    <row r="161" spans="1:5" x14ac:dyDescent="0.2">
      <c r="A161" s="3">
        <v>42952</v>
      </c>
      <c r="B161" s="24" t="s">
        <v>150</v>
      </c>
      <c r="C161" s="4" t="s">
        <v>98</v>
      </c>
      <c r="D161" s="8">
        <v>9500</v>
      </c>
      <c r="E161" s="4">
        <f t="shared" si="2"/>
        <v>301100</v>
      </c>
    </row>
    <row r="162" spans="1:5" x14ac:dyDescent="0.2">
      <c r="A162" s="3">
        <v>42952</v>
      </c>
      <c r="B162" s="24" t="s">
        <v>151</v>
      </c>
      <c r="C162" s="4" t="s">
        <v>98</v>
      </c>
      <c r="D162" s="8">
        <v>9500</v>
      </c>
      <c r="E162" s="4">
        <f t="shared" si="2"/>
        <v>310600</v>
      </c>
    </row>
    <row r="163" spans="1:5" x14ac:dyDescent="0.2">
      <c r="A163" s="3">
        <v>42952</v>
      </c>
      <c r="B163" s="24" t="s">
        <v>152</v>
      </c>
      <c r="C163" s="4" t="s">
        <v>99</v>
      </c>
      <c r="D163" s="8">
        <v>9500</v>
      </c>
      <c r="E163" s="4">
        <f t="shared" si="2"/>
        <v>320100</v>
      </c>
    </row>
    <row r="164" spans="1:5" x14ac:dyDescent="0.2">
      <c r="A164" s="3">
        <v>42952</v>
      </c>
      <c r="B164" s="24" t="s">
        <v>153</v>
      </c>
      <c r="C164" s="4" t="s">
        <v>99</v>
      </c>
      <c r="D164" s="8">
        <v>9500</v>
      </c>
      <c r="E164" s="4">
        <f t="shared" si="2"/>
        <v>329600</v>
      </c>
    </row>
    <row r="165" spans="1:5" x14ac:dyDescent="0.2">
      <c r="A165" s="3">
        <v>42952</v>
      </c>
      <c r="B165" s="24" t="s">
        <v>154</v>
      </c>
      <c r="C165" s="4" t="s">
        <v>97</v>
      </c>
      <c r="D165" s="8">
        <v>9500</v>
      </c>
      <c r="E165" s="4">
        <f t="shared" si="2"/>
        <v>339100</v>
      </c>
    </row>
    <row r="166" spans="1:5" x14ac:dyDescent="0.2">
      <c r="A166" s="3">
        <v>42952</v>
      </c>
      <c r="B166" s="24" t="s">
        <v>155</v>
      </c>
      <c r="C166" s="4" t="s">
        <v>97</v>
      </c>
      <c r="D166" s="8">
        <v>9500</v>
      </c>
      <c r="E166" s="4">
        <f t="shared" si="2"/>
        <v>348600</v>
      </c>
    </row>
    <row r="167" spans="1:5" x14ac:dyDescent="0.2">
      <c r="A167" s="3">
        <v>42952</v>
      </c>
      <c r="B167" s="24" t="s">
        <v>156</v>
      </c>
      <c r="C167" s="4" t="s">
        <v>97</v>
      </c>
      <c r="D167" s="8">
        <v>9500</v>
      </c>
      <c r="E167" s="4">
        <f t="shared" si="2"/>
        <v>358100</v>
      </c>
    </row>
    <row r="168" spans="1:5" x14ac:dyDescent="0.2">
      <c r="A168" s="3">
        <v>42958</v>
      </c>
      <c r="B168" s="24" t="s">
        <v>50</v>
      </c>
      <c r="C168" s="4" t="s">
        <v>32</v>
      </c>
      <c r="D168" s="8">
        <v>-25000</v>
      </c>
      <c r="E168" s="4">
        <f t="shared" si="2"/>
        <v>333100</v>
      </c>
    </row>
    <row r="169" spans="1:5" x14ac:dyDescent="0.2">
      <c r="A169" s="3">
        <v>42958</v>
      </c>
      <c r="B169" s="24" t="s">
        <v>51</v>
      </c>
      <c r="C169" s="4" t="s">
        <v>8</v>
      </c>
      <c r="D169" s="8">
        <v>-1000</v>
      </c>
      <c r="E169" s="4">
        <f t="shared" si="2"/>
        <v>332100</v>
      </c>
    </row>
    <row r="170" spans="1:5" x14ac:dyDescent="0.2">
      <c r="A170" s="3">
        <v>42958</v>
      </c>
      <c r="B170" s="24" t="s">
        <v>52</v>
      </c>
      <c r="C170" s="4" t="s">
        <v>8</v>
      </c>
      <c r="D170" s="8">
        <v>-1000</v>
      </c>
      <c r="E170" s="4">
        <f t="shared" si="2"/>
        <v>331100</v>
      </c>
    </row>
    <row r="171" spans="1:5" x14ac:dyDescent="0.2">
      <c r="A171" s="3">
        <v>42958</v>
      </c>
      <c r="B171" s="24" t="s">
        <v>53</v>
      </c>
      <c r="C171" s="4" t="s">
        <v>5</v>
      </c>
      <c r="D171" s="8">
        <v>-70000</v>
      </c>
      <c r="E171" s="4">
        <f t="shared" si="2"/>
        <v>261100</v>
      </c>
    </row>
    <row r="172" spans="1:5" x14ac:dyDescent="0.2">
      <c r="A172" s="3">
        <v>42958</v>
      </c>
      <c r="B172" s="24" t="s">
        <v>54</v>
      </c>
      <c r="C172" s="4" t="s">
        <v>7</v>
      </c>
      <c r="D172" s="8">
        <v>-85000</v>
      </c>
      <c r="E172" s="4">
        <f t="shared" si="2"/>
        <v>176100</v>
      </c>
    </row>
    <row r="173" spans="1:5" x14ac:dyDescent="0.2">
      <c r="A173" s="3">
        <v>42960</v>
      </c>
      <c r="B173" s="24" t="s">
        <v>55</v>
      </c>
      <c r="C173" s="4" t="s">
        <v>9</v>
      </c>
      <c r="D173" s="8">
        <v>-1000</v>
      </c>
      <c r="E173" s="4">
        <f t="shared" si="2"/>
        <v>175100</v>
      </c>
    </row>
    <row r="174" spans="1:5" x14ac:dyDescent="0.2">
      <c r="A174" s="3">
        <v>42960</v>
      </c>
      <c r="B174" s="24" t="s">
        <v>56</v>
      </c>
      <c r="C174" s="4" t="s">
        <v>9</v>
      </c>
      <c r="D174" s="8">
        <v>-1000</v>
      </c>
      <c r="E174" s="4">
        <f t="shared" si="2"/>
        <v>174100</v>
      </c>
    </row>
    <row r="175" spans="1:5" x14ac:dyDescent="0.2">
      <c r="A175" s="3">
        <v>42960</v>
      </c>
      <c r="B175" s="24" t="s">
        <v>57</v>
      </c>
      <c r="C175" s="4" t="s">
        <v>9</v>
      </c>
      <c r="D175" s="8">
        <v>-1000</v>
      </c>
      <c r="E175" s="4">
        <f t="shared" si="2"/>
        <v>173100</v>
      </c>
    </row>
    <row r="176" spans="1:5" x14ac:dyDescent="0.2">
      <c r="A176" s="3">
        <v>42960</v>
      </c>
      <c r="B176" s="24" t="s">
        <v>58</v>
      </c>
      <c r="C176" s="4" t="s">
        <v>9</v>
      </c>
      <c r="D176" s="8">
        <v>-1000</v>
      </c>
      <c r="E176" s="4">
        <f t="shared" si="2"/>
        <v>172100</v>
      </c>
    </row>
    <row r="177" spans="1:5" x14ac:dyDescent="0.2">
      <c r="A177" s="3">
        <v>42960</v>
      </c>
      <c r="B177" s="24" t="s">
        <v>59</v>
      </c>
      <c r="C177" s="4" t="s">
        <v>9</v>
      </c>
      <c r="D177" s="8">
        <v>-1000</v>
      </c>
      <c r="E177" s="4">
        <f t="shared" si="2"/>
        <v>171100</v>
      </c>
    </row>
    <row r="178" spans="1:5" x14ac:dyDescent="0.2">
      <c r="A178" s="3">
        <v>42960</v>
      </c>
      <c r="B178" s="24" t="s">
        <v>60</v>
      </c>
      <c r="C178" s="4" t="s">
        <v>9</v>
      </c>
      <c r="D178" s="8">
        <v>-1000</v>
      </c>
      <c r="E178" s="4">
        <f t="shared" si="2"/>
        <v>170100</v>
      </c>
    </row>
    <row r="179" spans="1:5" x14ac:dyDescent="0.2">
      <c r="A179" s="3">
        <v>42960</v>
      </c>
      <c r="B179" s="24" t="s">
        <v>61</v>
      </c>
      <c r="C179" s="4" t="s">
        <v>35</v>
      </c>
      <c r="D179" s="8">
        <v>-170000</v>
      </c>
      <c r="E179" s="4">
        <f t="shared" si="2"/>
        <v>100</v>
      </c>
    </row>
    <row r="180" spans="1:5" x14ac:dyDescent="0.2">
      <c r="A180" s="3">
        <v>42981</v>
      </c>
      <c r="B180" s="24" t="s">
        <v>157</v>
      </c>
      <c r="C180" s="4" t="s">
        <v>119</v>
      </c>
      <c r="D180" s="8">
        <v>250000</v>
      </c>
      <c r="E180" s="4">
        <f t="shared" si="2"/>
        <v>250100</v>
      </c>
    </row>
    <row r="181" spans="1:5" x14ac:dyDescent="0.2">
      <c r="A181" s="3">
        <v>42981</v>
      </c>
      <c r="B181" s="24" t="s">
        <v>158</v>
      </c>
      <c r="C181" s="4" t="s">
        <v>96</v>
      </c>
      <c r="D181" s="8">
        <v>10000</v>
      </c>
      <c r="E181" s="4">
        <f t="shared" si="2"/>
        <v>260100</v>
      </c>
    </row>
    <row r="182" spans="1:5" x14ac:dyDescent="0.2">
      <c r="A182" s="3">
        <v>42981</v>
      </c>
      <c r="B182" s="24" t="s">
        <v>159</v>
      </c>
      <c r="C182" s="4" t="s">
        <v>100</v>
      </c>
      <c r="D182" s="8">
        <v>10000</v>
      </c>
      <c r="E182" s="4">
        <f t="shared" si="2"/>
        <v>270100</v>
      </c>
    </row>
    <row r="183" spans="1:5" x14ac:dyDescent="0.2">
      <c r="A183" s="3">
        <v>42981</v>
      </c>
      <c r="B183" s="24" t="s">
        <v>160</v>
      </c>
      <c r="C183" s="4" t="s">
        <v>98</v>
      </c>
      <c r="D183" s="8">
        <v>10000</v>
      </c>
      <c r="E183" s="4">
        <f t="shared" si="2"/>
        <v>280100</v>
      </c>
    </row>
    <row r="184" spans="1:5" x14ac:dyDescent="0.2">
      <c r="A184" s="3">
        <v>42982</v>
      </c>
      <c r="B184" s="24" t="s">
        <v>161</v>
      </c>
      <c r="C184" s="4" t="s">
        <v>98</v>
      </c>
      <c r="D184" s="8">
        <v>9500</v>
      </c>
      <c r="E184" s="4">
        <f t="shared" si="2"/>
        <v>289600</v>
      </c>
    </row>
    <row r="185" spans="1:5" x14ac:dyDescent="0.2">
      <c r="A185" s="3">
        <v>42982</v>
      </c>
      <c r="B185" s="24" t="s">
        <v>162</v>
      </c>
      <c r="C185" s="4" t="s">
        <v>98</v>
      </c>
      <c r="D185" s="8">
        <v>9500</v>
      </c>
      <c r="E185" s="4">
        <f t="shared" si="2"/>
        <v>299100</v>
      </c>
    </row>
    <row r="186" spans="1:5" x14ac:dyDescent="0.2">
      <c r="A186" s="3">
        <v>42982</v>
      </c>
      <c r="B186" s="24" t="s">
        <v>163</v>
      </c>
      <c r="C186" s="4" t="s">
        <v>99</v>
      </c>
      <c r="D186" s="8">
        <v>9500</v>
      </c>
      <c r="E186" s="4">
        <f t="shared" si="2"/>
        <v>308600</v>
      </c>
    </row>
    <row r="187" spans="1:5" x14ac:dyDescent="0.2">
      <c r="A187" s="3">
        <v>42988</v>
      </c>
      <c r="B187" s="24" t="s">
        <v>62</v>
      </c>
      <c r="C187" s="4" t="s">
        <v>8</v>
      </c>
      <c r="D187" s="8">
        <v>-1000</v>
      </c>
      <c r="E187" s="4">
        <f t="shared" si="2"/>
        <v>307600</v>
      </c>
    </row>
    <row r="188" spans="1:5" x14ac:dyDescent="0.2">
      <c r="A188" s="3">
        <v>42988</v>
      </c>
      <c r="B188" s="24" t="s">
        <v>63</v>
      </c>
      <c r="C188" s="4" t="s">
        <v>8</v>
      </c>
      <c r="D188" s="8">
        <v>-1000</v>
      </c>
      <c r="E188" s="4">
        <f t="shared" si="2"/>
        <v>306600</v>
      </c>
    </row>
    <row r="189" spans="1:5" x14ac:dyDescent="0.2">
      <c r="A189" s="3">
        <v>42988</v>
      </c>
      <c r="B189" s="24" t="s">
        <v>64</v>
      </c>
      <c r="C189" s="4" t="s">
        <v>5</v>
      </c>
      <c r="D189" s="8">
        <v>-30000</v>
      </c>
      <c r="E189" s="4">
        <f t="shared" si="2"/>
        <v>276600</v>
      </c>
    </row>
    <row r="190" spans="1:5" x14ac:dyDescent="0.2">
      <c r="A190" s="3">
        <v>42988</v>
      </c>
      <c r="B190" s="24" t="s">
        <v>65</v>
      </c>
      <c r="C190" s="4" t="s">
        <v>7</v>
      </c>
      <c r="D190" s="8">
        <v>-48000</v>
      </c>
      <c r="E190" s="4">
        <f t="shared" si="2"/>
        <v>228600</v>
      </c>
    </row>
    <row r="191" spans="1:5" x14ac:dyDescent="0.2">
      <c r="A191" s="3">
        <v>42990</v>
      </c>
      <c r="B191" s="24" t="s">
        <v>66</v>
      </c>
      <c r="C191" s="4" t="s">
        <v>32</v>
      </c>
      <c r="D191" s="8">
        <v>-45000</v>
      </c>
      <c r="E191" s="4">
        <f t="shared" si="2"/>
        <v>183600</v>
      </c>
    </row>
    <row r="192" spans="1:5" x14ac:dyDescent="0.2">
      <c r="A192" s="3">
        <v>42990</v>
      </c>
      <c r="B192" s="24" t="s">
        <v>67</v>
      </c>
      <c r="C192" s="4" t="s">
        <v>9</v>
      </c>
      <c r="D192" s="8">
        <v>-1000</v>
      </c>
      <c r="E192" s="4">
        <f t="shared" si="2"/>
        <v>182600</v>
      </c>
    </row>
    <row r="193" spans="1:5" x14ac:dyDescent="0.2">
      <c r="A193" s="3">
        <v>42990</v>
      </c>
      <c r="B193" s="24" t="s">
        <v>68</v>
      </c>
      <c r="C193" s="4" t="s">
        <v>9</v>
      </c>
      <c r="D193" s="8">
        <v>-23000</v>
      </c>
      <c r="E193" s="4">
        <f t="shared" si="2"/>
        <v>159600</v>
      </c>
    </row>
    <row r="194" spans="1:5" x14ac:dyDescent="0.2">
      <c r="A194" s="3">
        <v>42990</v>
      </c>
      <c r="B194" s="24" t="s">
        <v>69</v>
      </c>
      <c r="C194" s="4" t="s">
        <v>9</v>
      </c>
      <c r="D194" s="8">
        <v>-10000</v>
      </c>
      <c r="E194" s="4">
        <f t="shared" si="2"/>
        <v>149600</v>
      </c>
    </row>
    <row r="195" spans="1:5" x14ac:dyDescent="0.2">
      <c r="A195" s="3">
        <v>42990</v>
      </c>
      <c r="B195" s="24" t="s">
        <v>70</v>
      </c>
      <c r="C195" s="4" t="s">
        <v>35</v>
      </c>
      <c r="D195" s="8">
        <v>-150000</v>
      </c>
      <c r="E195" s="4">
        <f t="shared" si="2"/>
        <v>-400</v>
      </c>
    </row>
    <row r="196" spans="1:5" x14ac:dyDescent="0.2">
      <c r="A196" s="3">
        <v>43012</v>
      </c>
      <c r="B196" s="24" t="s">
        <v>164</v>
      </c>
      <c r="C196" s="4" t="s">
        <v>119</v>
      </c>
      <c r="D196" s="8">
        <v>250000</v>
      </c>
      <c r="E196" s="4">
        <f t="shared" si="2"/>
        <v>249600</v>
      </c>
    </row>
    <row r="197" spans="1:5" x14ac:dyDescent="0.2">
      <c r="A197" s="3">
        <v>43012</v>
      </c>
      <c r="B197" s="24" t="s">
        <v>165</v>
      </c>
      <c r="C197" s="4" t="s">
        <v>96</v>
      </c>
      <c r="D197" s="8">
        <v>10000</v>
      </c>
      <c r="E197" s="4">
        <f t="shared" si="2"/>
        <v>259600</v>
      </c>
    </row>
    <row r="198" spans="1:5" x14ac:dyDescent="0.2">
      <c r="A198" s="3">
        <v>43012</v>
      </c>
      <c r="B198" s="24" t="s">
        <v>166</v>
      </c>
      <c r="C198" s="4" t="s">
        <v>100</v>
      </c>
      <c r="D198" s="8">
        <v>10000</v>
      </c>
      <c r="E198" s="4">
        <f t="shared" si="2"/>
        <v>269600</v>
      </c>
    </row>
    <row r="199" spans="1:5" x14ac:dyDescent="0.2">
      <c r="A199" s="3">
        <v>43012</v>
      </c>
      <c r="B199" s="24" t="s">
        <v>167</v>
      </c>
      <c r="C199" s="4" t="s">
        <v>98</v>
      </c>
      <c r="D199" s="8">
        <v>10000</v>
      </c>
      <c r="E199" s="4">
        <f t="shared" si="2"/>
        <v>279600</v>
      </c>
    </row>
    <row r="200" spans="1:5" x14ac:dyDescent="0.2">
      <c r="A200" s="3">
        <v>43015</v>
      </c>
      <c r="B200" s="24" t="s">
        <v>168</v>
      </c>
      <c r="C200" s="4" t="s">
        <v>98</v>
      </c>
      <c r="D200" s="8">
        <v>9500</v>
      </c>
      <c r="E200" s="4">
        <f t="shared" ref="E200:E246" si="3">E199+D200</f>
        <v>289100</v>
      </c>
    </row>
    <row r="201" spans="1:5" x14ac:dyDescent="0.2">
      <c r="A201" s="3">
        <v>43015</v>
      </c>
      <c r="B201" s="24" t="s">
        <v>169</v>
      </c>
      <c r="C201" s="4" t="s">
        <v>98</v>
      </c>
      <c r="D201" s="8">
        <v>9500</v>
      </c>
      <c r="E201" s="4">
        <f t="shared" si="3"/>
        <v>298600</v>
      </c>
    </row>
    <row r="202" spans="1:5" x14ac:dyDescent="0.2">
      <c r="A202" s="3">
        <v>43015</v>
      </c>
      <c r="B202" s="24" t="s">
        <v>170</v>
      </c>
      <c r="C202" s="4" t="s">
        <v>99</v>
      </c>
      <c r="D202" s="8">
        <v>9500</v>
      </c>
      <c r="E202" s="4">
        <f t="shared" si="3"/>
        <v>308100</v>
      </c>
    </row>
    <row r="203" spans="1:5" x14ac:dyDescent="0.2">
      <c r="A203" s="3">
        <v>43015</v>
      </c>
      <c r="B203" s="24" t="s">
        <v>171</v>
      </c>
      <c r="C203" s="4" t="s">
        <v>99</v>
      </c>
      <c r="D203" s="8">
        <v>9500</v>
      </c>
      <c r="E203" s="4">
        <f t="shared" si="3"/>
        <v>317600</v>
      </c>
    </row>
    <row r="204" spans="1:5" x14ac:dyDescent="0.2">
      <c r="A204" s="3">
        <v>43015</v>
      </c>
      <c r="B204" s="24" t="s">
        <v>172</v>
      </c>
      <c r="C204" s="4" t="s">
        <v>97</v>
      </c>
      <c r="D204" s="8">
        <v>9500</v>
      </c>
      <c r="E204" s="4">
        <f t="shared" si="3"/>
        <v>327100</v>
      </c>
    </row>
    <row r="205" spans="1:5" x14ac:dyDescent="0.2">
      <c r="A205" s="3">
        <v>43018</v>
      </c>
      <c r="B205" s="24" t="s">
        <v>71</v>
      </c>
      <c r="C205" s="4" t="s">
        <v>32</v>
      </c>
      <c r="D205" s="8">
        <v>-55000</v>
      </c>
      <c r="E205" s="4">
        <f t="shared" si="3"/>
        <v>272100</v>
      </c>
    </row>
    <row r="206" spans="1:5" x14ac:dyDescent="0.2">
      <c r="A206" s="3">
        <v>43018</v>
      </c>
      <c r="B206" s="24" t="s">
        <v>72</v>
      </c>
      <c r="C206" s="4" t="s">
        <v>35</v>
      </c>
      <c r="D206" s="8">
        <v>-195000</v>
      </c>
      <c r="E206" s="4">
        <f t="shared" si="3"/>
        <v>77100</v>
      </c>
    </row>
    <row r="207" spans="1:5" x14ac:dyDescent="0.2">
      <c r="A207" s="3">
        <v>43018</v>
      </c>
      <c r="B207" s="24" t="s">
        <v>73</v>
      </c>
      <c r="C207" s="4" t="s">
        <v>5</v>
      </c>
      <c r="D207" s="8">
        <v>-35000</v>
      </c>
      <c r="E207" s="4">
        <f t="shared" si="3"/>
        <v>42100</v>
      </c>
    </row>
    <row r="208" spans="1:5" x14ac:dyDescent="0.2">
      <c r="A208" s="3">
        <v>43023</v>
      </c>
      <c r="B208" s="24" t="s">
        <v>74</v>
      </c>
      <c r="C208" s="4" t="s">
        <v>9</v>
      </c>
      <c r="D208" s="8">
        <v>-1000</v>
      </c>
      <c r="E208" s="4">
        <f t="shared" si="3"/>
        <v>41100</v>
      </c>
    </row>
    <row r="209" spans="1:5" x14ac:dyDescent="0.2">
      <c r="A209" s="3">
        <v>43023</v>
      </c>
      <c r="B209" s="24" t="s">
        <v>75</v>
      </c>
      <c r="C209" s="4" t="s">
        <v>9</v>
      </c>
      <c r="D209" s="8">
        <v>-1000</v>
      </c>
      <c r="E209" s="4">
        <f t="shared" si="3"/>
        <v>40100</v>
      </c>
    </row>
    <row r="210" spans="1:5" x14ac:dyDescent="0.2">
      <c r="A210" s="3">
        <v>43023</v>
      </c>
      <c r="B210" s="24" t="s">
        <v>76</v>
      </c>
      <c r="C210" s="4" t="s">
        <v>9</v>
      </c>
      <c r="D210" s="8">
        <v>-1000</v>
      </c>
      <c r="E210" s="4">
        <f t="shared" si="3"/>
        <v>39100</v>
      </c>
    </row>
    <row r="211" spans="1:5" x14ac:dyDescent="0.2">
      <c r="A211" s="3">
        <v>43023</v>
      </c>
      <c r="B211" s="24" t="s">
        <v>77</v>
      </c>
      <c r="C211" s="4" t="s">
        <v>7</v>
      </c>
      <c r="D211" s="8">
        <v>-40000</v>
      </c>
      <c r="E211" s="4">
        <f t="shared" si="3"/>
        <v>-900</v>
      </c>
    </row>
    <row r="212" spans="1:5" x14ac:dyDescent="0.2">
      <c r="A212" s="3">
        <v>43043</v>
      </c>
      <c r="B212" s="24" t="s">
        <v>173</v>
      </c>
      <c r="C212" s="4" t="s">
        <v>119</v>
      </c>
      <c r="D212" s="8">
        <v>250000</v>
      </c>
      <c r="E212" s="4">
        <f t="shared" si="3"/>
        <v>249100</v>
      </c>
    </row>
    <row r="213" spans="1:5" x14ac:dyDescent="0.2">
      <c r="A213" s="3">
        <v>43043</v>
      </c>
      <c r="B213" s="24" t="s">
        <v>174</v>
      </c>
      <c r="C213" s="4" t="s">
        <v>96</v>
      </c>
      <c r="D213" s="8">
        <v>10000</v>
      </c>
      <c r="E213" s="4">
        <f t="shared" si="3"/>
        <v>259100</v>
      </c>
    </row>
    <row r="214" spans="1:5" x14ac:dyDescent="0.2">
      <c r="A214" s="3">
        <v>43043</v>
      </c>
      <c r="B214" s="24" t="s">
        <v>175</v>
      </c>
      <c r="C214" s="4" t="s">
        <v>100</v>
      </c>
      <c r="D214" s="8">
        <v>10000</v>
      </c>
      <c r="E214" s="4">
        <f t="shared" si="3"/>
        <v>269100</v>
      </c>
    </row>
    <row r="215" spans="1:5" x14ac:dyDescent="0.2">
      <c r="A215" s="3">
        <v>43043</v>
      </c>
      <c r="B215" s="24" t="s">
        <v>176</v>
      </c>
      <c r="C215" s="4" t="s">
        <v>98</v>
      </c>
      <c r="D215" s="8">
        <v>10000</v>
      </c>
      <c r="E215" s="4">
        <f t="shared" si="3"/>
        <v>279100</v>
      </c>
    </row>
    <row r="216" spans="1:5" x14ac:dyDescent="0.2">
      <c r="A216" s="3">
        <v>43043</v>
      </c>
      <c r="B216" s="24" t="s">
        <v>177</v>
      </c>
      <c r="C216" s="4" t="s">
        <v>98</v>
      </c>
      <c r="D216" s="8">
        <v>9500</v>
      </c>
      <c r="E216" s="4">
        <f t="shared" si="3"/>
        <v>288600</v>
      </c>
    </row>
    <row r="217" spans="1:5" x14ac:dyDescent="0.2">
      <c r="A217" s="3">
        <v>43045</v>
      </c>
      <c r="B217" s="24" t="s">
        <v>178</v>
      </c>
      <c r="C217" s="4" t="s">
        <v>98</v>
      </c>
      <c r="D217" s="8">
        <v>9500</v>
      </c>
      <c r="E217" s="4">
        <f t="shared" si="3"/>
        <v>298100</v>
      </c>
    </row>
    <row r="218" spans="1:5" x14ac:dyDescent="0.2">
      <c r="A218" s="3">
        <v>43045</v>
      </c>
      <c r="B218" s="24" t="s">
        <v>179</v>
      </c>
      <c r="C218" s="4" t="s">
        <v>99</v>
      </c>
      <c r="D218" s="8">
        <v>9500</v>
      </c>
      <c r="E218" s="4">
        <f t="shared" si="3"/>
        <v>307600</v>
      </c>
    </row>
    <row r="219" spans="1:5" x14ac:dyDescent="0.2">
      <c r="A219" s="3">
        <v>43045</v>
      </c>
      <c r="B219" s="24" t="s">
        <v>180</v>
      </c>
      <c r="C219" s="4" t="s">
        <v>99</v>
      </c>
      <c r="D219" s="8">
        <v>9500</v>
      </c>
      <c r="E219" s="4">
        <f t="shared" si="3"/>
        <v>317100</v>
      </c>
    </row>
    <row r="220" spans="1:5" x14ac:dyDescent="0.2">
      <c r="A220" s="3">
        <v>43045</v>
      </c>
      <c r="B220" s="24" t="s">
        <v>181</v>
      </c>
      <c r="C220" s="4" t="s">
        <v>97</v>
      </c>
      <c r="D220" s="8">
        <v>9500</v>
      </c>
      <c r="E220" s="4">
        <f t="shared" si="3"/>
        <v>326600</v>
      </c>
    </row>
    <row r="221" spans="1:5" x14ac:dyDescent="0.2">
      <c r="A221" s="3">
        <v>43045</v>
      </c>
      <c r="B221" s="24" t="s">
        <v>182</v>
      </c>
      <c r="C221" s="4" t="s">
        <v>97</v>
      </c>
      <c r="D221" s="8">
        <v>9500</v>
      </c>
      <c r="E221" s="4">
        <f t="shared" si="3"/>
        <v>336100</v>
      </c>
    </row>
    <row r="222" spans="1:5" x14ac:dyDescent="0.2">
      <c r="A222" s="3">
        <v>43045</v>
      </c>
      <c r="B222" s="24" t="s">
        <v>183</v>
      </c>
      <c r="C222" s="4" t="s">
        <v>97</v>
      </c>
      <c r="D222" s="8">
        <v>9500</v>
      </c>
      <c r="E222" s="4">
        <f t="shared" si="3"/>
        <v>345600</v>
      </c>
    </row>
    <row r="223" spans="1:5" s="6" customFormat="1" x14ac:dyDescent="0.2">
      <c r="A223" s="3">
        <v>43050</v>
      </c>
      <c r="B223" s="24" t="s">
        <v>78</v>
      </c>
      <c r="C223" s="4" t="s">
        <v>35</v>
      </c>
      <c r="D223" s="8">
        <v>-150000</v>
      </c>
      <c r="E223" s="4">
        <f t="shared" si="3"/>
        <v>195600</v>
      </c>
    </row>
    <row r="224" spans="1:5" x14ac:dyDescent="0.2">
      <c r="A224" s="3">
        <v>43050</v>
      </c>
      <c r="B224" s="24" t="s">
        <v>79</v>
      </c>
      <c r="C224" s="4" t="s">
        <v>5</v>
      </c>
      <c r="D224" s="8">
        <v>-32000</v>
      </c>
      <c r="E224" s="4">
        <f t="shared" si="3"/>
        <v>163600</v>
      </c>
    </row>
    <row r="225" spans="1:5" x14ac:dyDescent="0.2">
      <c r="A225" s="5">
        <v>43050</v>
      </c>
      <c r="B225" s="24" t="s">
        <v>80</v>
      </c>
      <c r="C225" s="6" t="s">
        <v>37</v>
      </c>
      <c r="D225" s="9">
        <v>-35000</v>
      </c>
      <c r="E225" s="4">
        <f t="shared" si="3"/>
        <v>128600</v>
      </c>
    </row>
    <row r="226" spans="1:5" x14ac:dyDescent="0.2">
      <c r="A226" s="3">
        <v>43051</v>
      </c>
      <c r="B226" s="24" t="s">
        <v>81</v>
      </c>
      <c r="C226" s="4" t="s">
        <v>19</v>
      </c>
      <c r="D226" s="8">
        <v>-70000</v>
      </c>
      <c r="E226" s="4">
        <f t="shared" si="3"/>
        <v>58600</v>
      </c>
    </row>
    <row r="227" spans="1:5" x14ac:dyDescent="0.2">
      <c r="A227" s="3">
        <v>43051</v>
      </c>
      <c r="B227" s="24" t="s">
        <v>82</v>
      </c>
      <c r="C227" s="4" t="s">
        <v>9</v>
      </c>
      <c r="D227" s="8">
        <v>-10000</v>
      </c>
      <c r="E227" s="4">
        <f t="shared" si="3"/>
        <v>48600</v>
      </c>
    </row>
    <row r="228" spans="1:5" x14ac:dyDescent="0.2">
      <c r="A228" s="3">
        <v>43051</v>
      </c>
      <c r="B228" s="24" t="s">
        <v>83</v>
      </c>
      <c r="C228" s="4" t="s">
        <v>9</v>
      </c>
      <c r="D228" s="8">
        <v>-10000</v>
      </c>
      <c r="E228" s="4">
        <f t="shared" si="3"/>
        <v>38600</v>
      </c>
    </row>
    <row r="229" spans="1:5" x14ac:dyDescent="0.2">
      <c r="A229" s="3">
        <v>43051</v>
      </c>
      <c r="B229" s="24" t="s">
        <v>84</v>
      </c>
      <c r="C229" s="4" t="s">
        <v>7</v>
      </c>
      <c r="D229" s="8">
        <v>-38000</v>
      </c>
      <c r="E229" s="4">
        <f t="shared" si="3"/>
        <v>600</v>
      </c>
    </row>
    <row r="230" spans="1:5" x14ac:dyDescent="0.2">
      <c r="A230" s="3">
        <v>43071</v>
      </c>
      <c r="B230" s="24" t="s">
        <v>184</v>
      </c>
      <c r="C230" s="4" t="s">
        <v>119</v>
      </c>
      <c r="D230" s="8">
        <v>340000</v>
      </c>
      <c r="E230" s="4">
        <f t="shared" si="3"/>
        <v>340600</v>
      </c>
    </row>
    <row r="231" spans="1:5" x14ac:dyDescent="0.2">
      <c r="A231" s="3">
        <v>43071</v>
      </c>
      <c r="B231" s="24" t="s">
        <v>185</v>
      </c>
      <c r="C231" s="4" t="s">
        <v>96</v>
      </c>
      <c r="D231" s="8">
        <v>10000</v>
      </c>
      <c r="E231" s="4">
        <f t="shared" si="3"/>
        <v>350600</v>
      </c>
    </row>
    <row r="232" spans="1:5" x14ac:dyDescent="0.2">
      <c r="A232" s="3">
        <v>43071</v>
      </c>
      <c r="B232" s="24" t="s">
        <v>186</v>
      </c>
      <c r="C232" s="4" t="s">
        <v>100</v>
      </c>
      <c r="D232" s="8">
        <v>10000</v>
      </c>
      <c r="E232" s="4">
        <f t="shared" si="3"/>
        <v>360600</v>
      </c>
    </row>
    <row r="233" spans="1:5" x14ac:dyDescent="0.2">
      <c r="A233" s="3">
        <v>43071</v>
      </c>
      <c r="B233" s="24" t="s">
        <v>187</v>
      </c>
      <c r="C233" s="4" t="s">
        <v>98</v>
      </c>
      <c r="D233" s="8">
        <v>10000</v>
      </c>
      <c r="E233" s="4">
        <f t="shared" si="3"/>
        <v>370600</v>
      </c>
    </row>
    <row r="234" spans="1:5" x14ac:dyDescent="0.2">
      <c r="A234" s="3">
        <v>43072</v>
      </c>
      <c r="B234" s="24" t="s">
        <v>188</v>
      </c>
      <c r="C234" s="4" t="s">
        <v>98</v>
      </c>
      <c r="D234" s="8">
        <v>10000</v>
      </c>
      <c r="E234" s="4">
        <f t="shared" si="3"/>
        <v>380600</v>
      </c>
    </row>
    <row r="235" spans="1:5" x14ac:dyDescent="0.2">
      <c r="A235" s="3">
        <v>43072</v>
      </c>
      <c r="B235" s="24" t="s">
        <v>189</v>
      </c>
      <c r="C235" s="4" t="s">
        <v>98</v>
      </c>
      <c r="D235" s="8">
        <v>10000</v>
      </c>
      <c r="E235" s="4">
        <f t="shared" si="3"/>
        <v>390600</v>
      </c>
    </row>
    <row r="236" spans="1:5" x14ac:dyDescent="0.2">
      <c r="A236" s="3">
        <v>43072</v>
      </c>
      <c r="B236" s="24" t="s">
        <v>190</v>
      </c>
      <c r="C236" s="4" t="s">
        <v>99</v>
      </c>
      <c r="D236" s="8">
        <v>10000</v>
      </c>
      <c r="E236" s="4">
        <f t="shared" si="3"/>
        <v>400600</v>
      </c>
    </row>
    <row r="237" spans="1:5" x14ac:dyDescent="0.2">
      <c r="A237" s="3">
        <v>43081</v>
      </c>
      <c r="B237" s="24" t="s">
        <v>85</v>
      </c>
      <c r="C237" s="4" t="s">
        <v>19</v>
      </c>
      <c r="D237" s="8">
        <v>-45000</v>
      </c>
      <c r="E237" s="4">
        <f t="shared" si="3"/>
        <v>355600</v>
      </c>
    </row>
    <row r="238" spans="1:5" x14ac:dyDescent="0.2">
      <c r="A238" s="3">
        <v>43081</v>
      </c>
      <c r="B238" s="24" t="s">
        <v>86</v>
      </c>
      <c r="C238" s="4" t="s">
        <v>35</v>
      </c>
      <c r="D238" s="8">
        <v>-215000</v>
      </c>
      <c r="E238" s="4">
        <f t="shared" si="3"/>
        <v>140600</v>
      </c>
    </row>
    <row r="239" spans="1:5" x14ac:dyDescent="0.2">
      <c r="A239" s="3">
        <v>43081</v>
      </c>
      <c r="B239" s="24" t="s">
        <v>87</v>
      </c>
      <c r="C239" s="4" t="s">
        <v>5</v>
      </c>
      <c r="D239" s="8">
        <v>-43000</v>
      </c>
      <c r="E239" s="4">
        <f t="shared" si="3"/>
        <v>97600</v>
      </c>
    </row>
    <row r="240" spans="1:5" x14ac:dyDescent="0.2">
      <c r="A240" s="3">
        <v>43081</v>
      </c>
      <c r="B240" s="24" t="s">
        <v>88</v>
      </c>
      <c r="C240" s="6" t="s">
        <v>37</v>
      </c>
      <c r="D240" s="8">
        <v>-55000</v>
      </c>
      <c r="E240" s="4">
        <f t="shared" si="3"/>
        <v>42600</v>
      </c>
    </row>
    <row r="241" spans="1:5" x14ac:dyDescent="0.2">
      <c r="A241" s="3">
        <v>43086</v>
      </c>
      <c r="B241" s="24" t="s">
        <v>89</v>
      </c>
      <c r="C241" s="4" t="s">
        <v>32</v>
      </c>
      <c r="D241" s="8">
        <v>-35000</v>
      </c>
      <c r="E241" s="4">
        <f t="shared" si="3"/>
        <v>7600</v>
      </c>
    </row>
    <row r="242" spans="1:5" x14ac:dyDescent="0.2">
      <c r="A242" s="3">
        <v>43086</v>
      </c>
      <c r="B242" s="24" t="s">
        <v>90</v>
      </c>
      <c r="C242" s="4" t="s">
        <v>9</v>
      </c>
      <c r="D242" s="8">
        <v>-1000</v>
      </c>
      <c r="E242" s="4">
        <f t="shared" si="3"/>
        <v>6600</v>
      </c>
    </row>
    <row r="243" spans="1:5" x14ac:dyDescent="0.2">
      <c r="A243" s="3">
        <v>43086</v>
      </c>
      <c r="B243" s="24" t="s">
        <v>91</v>
      </c>
      <c r="C243" s="4" t="s">
        <v>9</v>
      </c>
      <c r="D243" s="8">
        <v>-1000</v>
      </c>
      <c r="E243" s="4">
        <f t="shared" si="3"/>
        <v>5600</v>
      </c>
    </row>
    <row r="244" spans="1:5" x14ac:dyDescent="0.2">
      <c r="A244" s="3">
        <v>43086</v>
      </c>
      <c r="B244" s="24" t="s">
        <v>92</v>
      </c>
      <c r="C244" s="4" t="s">
        <v>9</v>
      </c>
      <c r="D244" s="8">
        <v>-1000</v>
      </c>
      <c r="E244" s="4">
        <f t="shared" si="3"/>
        <v>4600</v>
      </c>
    </row>
    <row r="245" spans="1:5" x14ac:dyDescent="0.2">
      <c r="A245" s="3">
        <v>43086</v>
      </c>
      <c r="B245" s="24" t="s">
        <v>93</v>
      </c>
      <c r="C245" s="4" t="s">
        <v>9</v>
      </c>
      <c r="D245" s="8">
        <v>-1000</v>
      </c>
      <c r="E245" s="4">
        <f t="shared" si="3"/>
        <v>3600</v>
      </c>
    </row>
    <row r="246" spans="1:5" x14ac:dyDescent="0.2">
      <c r="A246" s="3">
        <v>43089</v>
      </c>
      <c r="B246" s="24" t="s">
        <v>94</v>
      </c>
      <c r="C246" s="4" t="s">
        <v>9</v>
      </c>
      <c r="D246" s="8">
        <v>-1000</v>
      </c>
      <c r="E246" s="4">
        <f t="shared" si="3"/>
        <v>2600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9"/>
  <sheetViews>
    <sheetView workbookViewId="0">
      <selection activeCell="D109" sqref="D109"/>
    </sheetView>
  </sheetViews>
  <sheetFormatPr baseColWidth="10" defaultColWidth="8.83203125" defaultRowHeight="15" x14ac:dyDescent="0.2"/>
  <cols>
    <col min="1" max="1" width="16.1640625" style="3" bestFit="1" customWidth="1"/>
    <col min="2" max="2" width="11.33203125" style="13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 t="s">
        <v>0</v>
      </c>
      <c r="B1" s="10" t="s">
        <v>1</v>
      </c>
      <c r="C1" s="2" t="s">
        <v>2</v>
      </c>
      <c r="D1" s="2" t="s">
        <v>3</v>
      </c>
    </row>
    <row r="2" spans="1:4" x14ac:dyDescent="0.2">
      <c r="A2" s="3">
        <v>42739</v>
      </c>
      <c r="B2" s="11">
        <v>12546702</v>
      </c>
      <c r="C2" s="4" t="s">
        <v>4</v>
      </c>
      <c r="D2" s="4">
        <v>25000</v>
      </c>
    </row>
    <row r="3" spans="1:4" x14ac:dyDescent="0.2">
      <c r="A3" s="3">
        <v>42739</v>
      </c>
      <c r="B3" s="11">
        <v>12546704</v>
      </c>
      <c r="C3" s="4" t="s">
        <v>5</v>
      </c>
      <c r="D3" s="4">
        <v>40000</v>
      </c>
    </row>
    <row r="4" spans="1:4" x14ac:dyDescent="0.2">
      <c r="A4" s="3">
        <v>42739</v>
      </c>
      <c r="B4" s="11">
        <v>12546705</v>
      </c>
      <c r="C4" s="4" t="s">
        <v>6</v>
      </c>
      <c r="D4" s="4">
        <v>20000</v>
      </c>
    </row>
    <row r="5" spans="1:4" x14ac:dyDescent="0.2">
      <c r="A5" s="3">
        <v>42739</v>
      </c>
      <c r="B5" s="11">
        <v>12546703</v>
      </c>
      <c r="C5" s="4" t="s">
        <v>7</v>
      </c>
      <c r="D5" s="4">
        <v>12000</v>
      </c>
    </row>
    <row r="6" spans="1:4" x14ac:dyDescent="0.2">
      <c r="A6" s="3">
        <v>42773</v>
      </c>
      <c r="B6" s="11">
        <v>12546718</v>
      </c>
      <c r="C6" s="4" t="s">
        <v>5</v>
      </c>
      <c r="D6" s="4">
        <v>50000</v>
      </c>
    </row>
    <row r="7" spans="1:4" x14ac:dyDescent="0.2">
      <c r="A7" s="3">
        <v>42773</v>
      </c>
      <c r="B7" s="11">
        <v>12546717</v>
      </c>
      <c r="C7" s="4" t="s">
        <v>7</v>
      </c>
      <c r="D7" s="4">
        <v>25000</v>
      </c>
    </row>
    <row r="8" spans="1:4" x14ac:dyDescent="0.2">
      <c r="A8" s="3">
        <v>42773</v>
      </c>
      <c r="B8" s="11">
        <v>12546719</v>
      </c>
      <c r="C8" s="4" t="s">
        <v>7</v>
      </c>
      <c r="D8" s="4">
        <v>20000</v>
      </c>
    </row>
    <row r="9" spans="1:4" x14ac:dyDescent="0.2">
      <c r="A9" s="3">
        <v>42773</v>
      </c>
      <c r="B9" s="11">
        <v>12546720</v>
      </c>
      <c r="C9" s="4" t="s">
        <v>7</v>
      </c>
      <c r="D9" s="4">
        <v>10000</v>
      </c>
    </row>
    <row r="10" spans="1:4" x14ac:dyDescent="0.2">
      <c r="A10" s="3">
        <v>42774</v>
      </c>
      <c r="B10" s="11">
        <v>12546721</v>
      </c>
      <c r="C10" s="4" t="s">
        <v>8</v>
      </c>
      <c r="D10" s="4">
        <v>1000</v>
      </c>
    </row>
    <row r="11" spans="1:4" x14ac:dyDescent="0.2">
      <c r="A11" s="3">
        <v>42774</v>
      </c>
      <c r="B11" s="11">
        <v>12546722</v>
      </c>
      <c r="C11" s="4" t="s">
        <v>8</v>
      </c>
      <c r="D11" s="4">
        <v>1000</v>
      </c>
    </row>
    <row r="12" spans="1:4" x14ac:dyDescent="0.2">
      <c r="A12" s="3">
        <v>42774</v>
      </c>
      <c r="B12" s="11">
        <v>12546723</v>
      </c>
      <c r="C12" s="4" t="s">
        <v>8</v>
      </c>
      <c r="D12" s="4">
        <v>1000</v>
      </c>
    </row>
    <row r="13" spans="1:4" x14ac:dyDescent="0.2">
      <c r="A13" s="3">
        <v>42775</v>
      </c>
      <c r="B13" s="11">
        <v>12546724</v>
      </c>
      <c r="C13" s="4" t="s">
        <v>9</v>
      </c>
      <c r="D13" s="4">
        <v>1000</v>
      </c>
    </row>
    <row r="14" spans="1:4" x14ac:dyDescent="0.2">
      <c r="A14" s="3">
        <v>42775</v>
      </c>
      <c r="B14" s="11">
        <v>12546725</v>
      </c>
      <c r="C14" s="4" t="s">
        <v>9</v>
      </c>
      <c r="D14" s="4">
        <v>1000</v>
      </c>
    </row>
    <row r="15" spans="1:4" x14ac:dyDescent="0.2">
      <c r="A15" s="3">
        <v>42801</v>
      </c>
      <c r="B15" s="11">
        <v>12546738</v>
      </c>
      <c r="C15" s="4" t="s">
        <v>8</v>
      </c>
      <c r="D15" s="4">
        <v>1000</v>
      </c>
    </row>
    <row r="16" spans="1:4" x14ac:dyDescent="0.2">
      <c r="A16" s="3">
        <v>42801</v>
      </c>
      <c r="B16" s="11">
        <v>12546739</v>
      </c>
      <c r="C16" s="4" t="s">
        <v>8</v>
      </c>
      <c r="D16" s="4">
        <v>1000</v>
      </c>
    </row>
    <row r="17" spans="1:4" x14ac:dyDescent="0.2">
      <c r="A17" s="3">
        <v>42801</v>
      </c>
      <c r="B17" s="11">
        <v>12546740</v>
      </c>
      <c r="C17" s="4" t="s">
        <v>8</v>
      </c>
      <c r="D17" s="4">
        <v>1000</v>
      </c>
    </row>
    <row r="18" spans="1:4" x14ac:dyDescent="0.2">
      <c r="A18" s="3">
        <v>42801</v>
      </c>
      <c r="B18" s="11">
        <v>12546741</v>
      </c>
      <c r="C18" s="4" t="s">
        <v>8</v>
      </c>
      <c r="D18" s="4">
        <v>1000</v>
      </c>
    </row>
    <row r="19" spans="1:4" x14ac:dyDescent="0.2">
      <c r="A19" s="3">
        <v>42801</v>
      </c>
      <c r="B19" s="11">
        <v>12546742</v>
      </c>
      <c r="C19" s="4" t="s">
        <v>8</v>
      </c>
      <c r="D19" s="4">
        <v>1000</v>
      </c>
    </row>
    <row r="20" spans="1:4" x14ac:dyDescent="0.2">
      <c r="A20" s="3">
        <v>42801</v>
      </c>
      <c r="B20" s="11">
        <v>12546743</v>
      </c>
      <c r="C20" s="4" t="s">
        <v>8</v>
      </c>
      <c r="D20" s="4">
        <v>1000</v>
      </c>
    </row>
    <row r="21" spans="1:4" x14ac:dyDescent="0.2">
      <c r="A21" s="3">
        <v>42801</v>
      </c>
      <c r="B21" s="11">
        <v>12546744</v>
      </c>
      <c r="C21" s="4" t="s">
        <v>8</v>
      </c>
      <c r="D21" s="4">
        <v>1000</v>
      </c>
    </row>
    <row r="22" spans="1:4" x14ac:dyDescent="0.2">
      <c r="A22" s="3">
        <v>42801</v>
      </c>
      <c r="B22" s="11">
        <v>12546745</v>
      </c>
      <c r="C22" s="4" t="s">
        <v>8</v>
      </c>
      <c r="D22" s="4">
        <v>1000</v>
      </c>
    </row>
    <row r="23" spans="1:4" x14ac:dyDescent="0.2">
      <c r="A23" s="3">
        <v>42801</v>
      </c>
      <c r="B23" s="11">
        <v>12546746</v>
      </c>
      <c r="C23" s="4" t="s">
        <v>8</v>
      </c>
      <c r="D23" s="4">
        <v>1000</v>
      </c>
    </row>
    <row r="24" spans="1:4" x14ac:dyDescent="0.2">
      <c r="A24" s="3">
        <v>42801</v>
      </c>
      <c r="B24" s="11">
        <v>12546747</v>
      </c>
      <c r="C24" s="4" t="s">
        <v>8</v>
      </c>
      <c r="D24" s="4">
        <v>1000</v>
      </c>
    </row>
    <row r="25" spans="1:4" x14ac:dyDescent="0.2">
      <c r="A25" s="3">
        <v>42802</v>
      </c>
      <c r="B25" s="11">
        <v>12546748</v>
      </c>
      <c r="C25" s="4" t="s">
        <v>10</v>
      </c>
      <c r="D25" s="4">
        <v>100000</v>
      </c>
    </row>
    <row r="26" spans="1:4" x14ac:dyDescent="0.2">
      <c r="A26" s="3">
        <v>42832</v>
      </c>
      <c r="B26" s="11">
        <v>12546761</v>
      </c>
      <c r="C26" s="4" t="s">
        <v>8</v>
      </c>
      <c r="D26" s="4">
        <v>1000</v>
      </c>
    </row>
    <row r="27" spans="1:4" x14ac:dyDescent="0.2">
      <c r="A27" s="3">
        <v>42832</v>
      </c>
      <c r="B27" s="11">
        <v>12546762</v>
      </c>
      <c r="C27" s="4" t="s">
        <v>8</v>
      </c>
      <c r="D27" s="4">
        <v>1000</v>
      </c>
    </row>
    <row r="28" spans="1:4" x14ac:dyDescent="0.2">
      <c r="A28" s="3">
        <v>42832</v>
      </c>
      <c r="B28" s="12" t="s">
        <v>11</v>
      </c>
      <c r="C28" s="4" t="s">
        <v>9</v>
      </c>
      <c r="D28" s="4">
        <v>1000</v>
      </c>
    </row>
    <row r="29" spans="1:4" x14ac:dyDescent="0.2">
      <c r="A29" s="3">
        <v>42832</v>
      </c>
      <c r="B29" s="12" t="s">
        <v>12</v>
      </c>
      <c r="C29" s="4" t="s">
        <v>9</v>
      </c>
      <c r="D29" s="4">
        <v>1000</v>
      </c>
    </row>
    <row r="30" spans="1:4" x14ac:dyDescent="0.2">
      <c r="A30" s="3">
        <v>42832</v>
      </c>
      <c r="B30" s="11">
        <v>12546763</v>
      </c>
      <c r="C30" s="4" t="s">
        <v>5</v>
      </c>
      <c r="D30" s="4">
        <v>100000</v>
      </c>
    </row>
    <row r="31" spans="1:4" x14ac:dyDescent="0.2">
      <c r="A31" s="3">
        <v>42832</v>
      </c>
      <c r="B31" s="11">
        <v>12546764</v>
      </c>
      <c r="C31" s="4" t="s">
        <v>7</v>
      </c>
      <c r="D31" s="4">
        <v>20000</v>
      </c>
    </row>
    <row r="32" spans="1:4" x14ac:dyDescent="0.2">
      <c r="A32" s="3">
        <v>42865</v>
      </c>
      <c r="B32" s="12" t="s">
        <v>13</v>
      </c>
      <c r="C32" s="4" t="s">
        <v>8</v>
      </c>
      <c r="D32" s="4">
        <v>1000</v>
      </c>
    </row>
    <row r="33" spans="1:4" x14ac:dyDescent="0.2">
      <c r="A33" s="3">
        <v>42865</v>
      </c>
      <c r="B33" s="12" t="s">
        <v>14</v>
      </c>
      <c r="C33" s="4" t="s">
        <v>8</v>
      </c>
      <c r="D33" s="4">
        <v>1000</v>
      </c>
    </row>
    <row r="34" spans="1:4" x14ac:dyDescent="0.2">
      <c r="A34" s="3">
        <v>42865</v>
      </c>
      <c r="B34" s="12" t="s">
        <v>15</v>
      </c>
      <c r="C34" s="4" t="s">
        <v>8</v>
      </c>
      <c r="D34" s="4">
        <v>1000</v>
      </c>
    </row>
    <row r="35" spans="1:4" x14ac:dyDescent="0.2">
      <c r="A35" s="3">
        <v>42865</v>
      </c>
      <c r="B35" s="12" t="s">
        <v>16</v>
      </c>
      <c r="C35" s="4" t="s">
        <v>8</v>
      </c>
      <c r="D35" s="4">
        <v>1000</v>
      </c>
    </row>
    <row r="36" spans="1:4" x14ac:dyDescent="0.2">
      <c r="A36" s="3">
        <v>42865</v>
      </c>
      <c r="B36" s="12" t="s">
        <v>17</v>
      </c>
      <c r="C36" s="4" t="s">
        <v>5</v>
      </c>
      <c r="D36" s="4">
        <v>30000</v>
      </c>
    </row>
    <row r="37" spans="1:4" x14ac:dyDescent="0.2">
      <c r="A37" s="3">
        <v>42867</v>
      </c>
      <c r="B37" s="12" t="s">
        <v>18</v>
      </c>
      <c r="C37" s="4" t="s">
        <v>19</v>
      </c>
      <c r="D37" s="4">
        <v>10000</v>
      </c>
    </row>
    <row r="38" spans="1:4" x14ac:dyDescent="0.2">
      <c r="A38" s="3">
        <v>42867</v>
      </c>
      <c r="B38" s="12" t="s">
        <v>20</v>
      </c>
      <c r="C38" s="4" t="s">
        <v>9</v>
      </c>
      <c r="D38" s="4">
        <v>1000</v>
      </c>
    </row>
    <row r="39" spans="1:4" x14ac:dyDescent="0.2">
      <c r="A39" s="3">
        <v>42867</v>
      </c>
      <c r="B39" s="12" t="s">
        <v>21</v>
      </c>
      <c r="C39" s="4" t="s">
        <v>9</v>
      </c>
      <c r="D39" s="4">
        <v>1000</v>
      </c>
    </row>
    <row r="40" spans="1:4" x14ac:dyDescent="0.2">
      <c r="A40" s="3">
        <v>42867</v>
      </c>
      <c r="B40" s="12" t="s">
        <v>22</v>
      </c>
      <c r="C40" s="4" t="s">
        <v>9</v>
      </c>
      <c r="D40" s="4">
        <v>1000</v>
      </c>
    </row>
    <row r="41" spans="1:4" x14ac:dyDescent="0.2">
      <c r="A41" s="3">
        <v>42868</v>
      </c>
      <c r="B41" s="12" t="s">
        <v>23</v>
      </c>
      <c r="C41" s="4" t="s">
        <v>8</v>
      </c>
      <c r="D41" s="4">
        <v>1000</v>
      </c>
    </row>
    <row r="42" spans="1:4" x14ac:dyDescent="0.2">
      <c r="A42" s="3">
        <v>42868</v>
      </c>
      <c r="B42" s="12" t="s">
        <v>24</v>
      </c>
      <c r="C42" s="4" t="s">
        <v>25</v>
      </c>
      <c r="D42" s="4">
        <v>20000</v>
      </c>
    </row>
    <row r="43" spans="1:4" x14ac:dyDescent="0.2">
      <c r="A43" s="3">
        <v>42868</v>
      </c>
      <c r="B43" s="12" t="s">
        <v>26</v>
      </c>
      <c r="C43" s="4" t="s">
        <v>7</v>
      </c>
      <c r="D43" s="4">
        <v>25000</v>
      </c>
    </row>
    <row r="44" spans="1:4" x14ac:dyDescent="0.2">
      <c r="A44" s="3">
        <v>42898</v>
      </c>
      <c r="B44" s="12" t="s">
        <v>27</v>
      </c>
      <c r="C44" s="4" t="s">
        <v>5</v>
      </c>
      <c r="D44" s="4">
        <v>75000</v>
      </c>
    </row>
    <row r="45" spans="1:4" x14ac:dyDescent="0.2">
      <c r="A45" s="3">
        <v>42898</v>
      </c>
      <c r="B45" s="12" t="s">
        <v>28</v>
      </c>
      <c r="C45" s="4" t="s">
        <v>6</v>
      </c>
      <c r="D45" s="4">
        <v>25000</v>
      </c>
    </row>
    <row r="46" spans="1:4" x14ac:dyDescent="0.2">
      <c r="A46" s="3">
        <v>42898</v>
      </c>
      <c r="B46" s="12" t="s">
        <v>29</v>
      </c>
      <c r="C46" s="4" t="s">
        <v>7</v>
      </c>
      <c r="D46" s="4">
        <v>50000</v>
      </c>
    </row>
    <row r="47" spans="1:4" x14ac:dyDescent="0.2">
      <c r="A47" s="3">
        <v>42900</v>
      </c>
      <c r="B47" s="12" t="s">
        <v>30</v>
      </c>
      <c r="C47" s="4" t="s">
        <v>19</v>
      </c>
      <c r="D47" s="4">
        <v>30000</v>
      </c>
    </row>
    <row r="48" spans="1:4" x14ac:dyDescent="0.2">
      <c r="A48" s="3">
        <v>42900</v>
      </c>
      <c r="B48" s="12" t="s">
        <v>31</v>
      </c>
      <c r="C48" s="4" t="s">
        <v>32</v>
      </c>
      <c r="D48" s="4">
        <v>50000</v>
      </c>
    </row>
    <row r="49" spans="1:4" x14ac:dyDescent="0.2">
      <c r="A49" s="3">
        <v>42900</v>
      </c>
      <c r="B49" s="12" t="s">
        <v>33</v>
      </c>
      <c r="C49" s="4" t="s">
        <v>9</v>
      </c>
      <c r="D49" s="4">
        <v>1000</v>
      </c>
    </row>
    <row r="50" spans="1:4" x14ac:dyDescent="0.2">
      <c r="A50" s="3">
        <v>42900</v>
      </c>
      <c r="B50" s="12" t="s">
        <v>34</v>
      </c>
      <c r="C50" s="4" t="s">
        <v>35</v>
      </c>
      <c r="D50" s="4">
        <v>75000</v>
      </c>
    </row>
    <row r="51" spans="1:4" x14ac:dyDescent="0.2">
      <c r="A51" s="3">
        <v>42900</v>
      </c>
      <c r="B51" s="12" t="s">
        <v>36</v>
      </c>
      <c r="C51" s="4" t="s">
        <v>37</v>
      </c>
      <c r="D51" s="4">
        <v>25000</v>
      </c>
    </row>
    <row r="52" spans="1:4" x14ac:dyDescent="0.2">
      <c r="A52" s="3">
        <v>42926</v>
      </c>
      <c r="B52" s="12" t="s">
        <v>38</v>
      </c>
      <c r="C52" s="4" t="s">
        <v>5</v>
      </c>
      <c r="D52" s="4">
        <v>30000</v>
      </c>
    </row>
    <row r="53" spans="1:4" x14ac:dyDescent="0.2">
      <c r="A53" s="3">
        <v>42926</v>
      </c>
      <c r="B53" s="12" t="s">
        <v>39</v>
      </c>
      <c r="C53" s="4" t="s">
        <v>37</v>
      </c>
      <c r="D53" s="4">
        <v>25000</v>
      </c>
    </row>
    <row r="54" spans="1:4" x14ac:dyDescent="0.2">
      <c r="A54" s="3">
        <v>42926</v>
      </c>
      <c r="B54" s="12" t="s">
        <v>40</v>
      </c>
      <c r="C54" s="4" t="s">
        <v>6</v>
      </c>
      <c r="D54" s="4">
        <v>30000</v>
      </c>
    </row>
    <row r="55" spans="1:4" x14ac:dyDescent="0.2">
      <c r="A55" s="3">
        <v>42926</v>
      </c>
      <c r="B55" s="12" t="s">
        <v>41</v>
      </c>
      <c r="C55" s="4" t="s">
        <v>7</v>
      </c>
      <c r="D55" s="4">
        <v>24000</v>
      </c>
    </row>
    <row r="56" spans="1:4" x14ac:dyDescent="0.2">
      <c r="A56" s="3">
        <v>42928</v>
      </c>
      <c r="B56" s="12" t="s">
        <v>42</v>
      </c>
      <c r="C56" s="4" t="s">
        <v>19</v>
      </c>
      <c r="D56" s="4">
        <v>20000</v>
      </c>
    </row>
    <row r="57" spans="1:4" x14ac:dyDescent="0.2">
      <c r="A57" s="3">
        <v>42928</v>
      </c>
      <c r="B57" s="12" t="s">
        <v>43</v>
      </c>
      <c r="C57" s="4" t="s">
        <v>32</v>
      </c>
      <c r="D57" s="4">
        <v>55000</v>
      </c>
    </row>
    <row r="58" spans="1:4" x14ac:dyDescent="0.2">
      <c r="A58" s="3">
        <v>42928</v>
      </c>
      <c r="B58" s="12" t="s">
        <v>44</v>
      </c>
      <c r="C58" s="4" t="s">
        <v>9</v>
      </c>
      <c r="D58" s="4">
        <v>1000</v>
      </c>
    </row>
    <row r="59" spans="1:4" x14ac:dyDescent="0.2">
      <c r="A59" s="3">
        <v>42928</v>
      </c>
      <c r="B59" s="12" t="s">
        <v>45</v>
      </c>
      <c r="C59" s="4" t="s">
        <v>9</v>
      </c>
      <c r="D59" s="4">
        <v>1000</v>
      </c>
    </row>
    <row r="60" spans="1:4" x14ac:dyDescent="0.2">
      <c r="A60" s="3">
        <v>42928</v>
      </c>
      <c r="B60" s="12" t="s">
        <v>46</v>
      </c>
      <c r="C60" s="4" t="s">
        <v>35</v>
      </c>
      <c r="D60" s="4">
        <v>100000</v>
      </c>
    </row>
    <row r="61" spans="1:4" x14ac:dyDescent="0.2">
      <c r="A61" s="3">
        <v>42930</v>
      </c>
      <c r="B61" s="12" t="s">
        <v>47</v>
      </c>
      <c r="C61" s="4" t="s">
        <v>9</v>
      </c>
      <c r="D61" s="4">
        <v>1000</v>
      </c>
    </row>
    <row r="62" spans="1:4" x14ac:dyDescent="0.2">
      <c r="A62" s="3">
        <v>42930</v>
      </c>
      <c r="B62" s="12" t="s">
        <v>48</v>
      </c>
      <c r="C62" s="4" t="s">
        <v>9</v>
      </c>
      <c r="D62" s="4">
        <v>1000</v>
      </c>
    </row>
    <row r="63" spans="1:4" x14ac:dyDescent="0.2">
      <c r="A63" s="3">
        <v>42930</v>
      </c>
      <c r="B63" s="12" t="s">
        <v>49</v>
      </c>
      <c r="C63" s="4" t="s">
        <v>9</v>
      </c>
      <c r="D63" s="4">
        <v>1000</v>
      </c>
    </row>
    <row r="64" spans="1:4" x14ac:dyDescent="0.2">
      <c r="A64" s="3">
        <v>42958</v>
      </c>
      <c r="B64" s="12" t="s">
        <v>50</v>
      </c>
      <c r="C64" s="4" t="s">
        <v>32</v>
      </c>
      <c r="D64" s="4">
        <v>25000</v>
      </c>
    </row>
    <row r="65" spans="1:4" x14ac:dyDescent="0.2">
      <c r="A65" s="3">
        <v>42958</v>
      </c>
      <c r="B65" s="12" t="s">
        <v>51</v>
      </c>
      <c r="C65" s="4" t="s">
        <v>8</v>
      </c>
      <c r="D65" s="4">
        <v>1000</v>
      </c>
    </row>
    <row r="66" spans="1:4" x14ac:dyDescent="0.2">
      <c r="A66" s="3">
        <v>42958</v>
      </c>
      <c r="B66" s="12" t="s">
        <v>52</v>
      </c>
      <c r="C66" s="4" t="s">
        <v>8</v>
      </c>
      <c r="D66" s="4">
        <v>1000</v>
      </c>
    </row>
    <row r="67" spans="1:4" x14ac:dyDescent="0.2">
      <c r="A67" s="3">
        <v>42958</v>
      </c>
      <c r="B67" s="12" t="s">
        <v>53</v>
      </c>
      <c r="C67" s="4" t="s">
        <v>5</v>
      </c>
      <c r="D67" s="4">
        <v>70000</v>
      </c>
    </row>
    <row r="68" spans="1:4" x14ac:dyDescent="0.2">
      <c r="A68" s="3">
        <v>42958</v>
      </c>
      <c r="B68" s="12" t="s">
        <v>54</v>
      </c>
      <c r="C68" s="4" t="s">
        <v>7</v>
      </c>
      <c r="D68" s="4">
        <v>85000</v>
      </c>
    </row>
    <row r="69" spans="1:4" x14ac:dyDescent="0.2">
      <c r="A69" s="3">
        <v>42960</v>
      </c>
      <c r="B69" s="12" t="s">
        <v>55</v>
      </c>
      <c r="C69" s="4" t="s">
        <v>9</v>
      </c>
      <c r="D69" s="4">
        <v>1000</v>
      </c>
    </row>
    <row r="70" spans="1:4" x14ac:dyDescent="0.2">
      <c r="A70" s="3">
        <v>42960</v>
      </c>
      <c r="B70" s="12" t="s">
        <v>56</v>
      </c>
      <c r="C70" s="4" t="s">
        <v>9</v>
      </c>
      <c r="D70" s="4">
        <v>1000</v>
      </c>
    </row>
    <row r="71" spans="1:4" x14ac:dyDescent="0.2">
      <c r="A71" s="3">
        <v>42960</v>
      </c>
      <c r="B71" s="12" t="s">
        <v>57</v>
      </c>
      <c r="C71" s="4" t="s">
        <v>9</v>
      </c>
      <c r="D71" s="4">
        <v>1000</v>
      </c>
    </row>
    <row r="72" spans="1:4" x14ac:dyDescent="0.2">
      <c r="A72" s="3">
        <v>42960</v>
      </c>
      <c r="B72" s="12" t="s">
        <v>58</v>
      </c>
      <c r="C72" s="4" t="s">
        <v>9</v>
      </c>
      <c r="D72" s="4">
        <v>1000</v>
      </c>
    </row>
    <row r="73" spans="1:4" x14ac:dyDescent="0.2">
      <c r="A73" s="3">
        <v>42960</v>
      </c>
      <c r="B73" s="12" t="s">
        <v>59</v>
      </c>
      <c r="C73" s="4" t="s">
        <v>9</v>
      </c>
      <c r="D73" s="4">
        <v>1000</v>
      </c>
    </row>
    <row r="74" spans="1:4" x14ac:dyDescent="0.2">
      <c r="A74" s="3">
        <v>42960</v>
      </c>
      <c r="B74" s="12" t="s">
        <v>60</v>
      </c>
      <c r="C74" s="4" t="s">
        <v>9</v>
      </c>
      <c r="D74" s="4">
        <v>1000</v>
      </c>
    </row>
    <row r="75" spans="1:4" x14ac:dyDescent="0.2">
      <c r="A75" s="3">
        <v>42960</v>
      </c>
      <c r="B75" s="12" t="s">
        <v>61</v>
      </c>
      <c r="C75" s="4" t="s">
        <v>35</v>
      </c>
      <c r="D75" s="4">
        <v>170000</v>
      </c>
    </row>
    <row r="76" spans="1:4" x14ac:dyDescent="0.2">
      <c r="A76" s="3">
        <v>42988</v>
      </c>
      <c r="B76" s="12" t="s">
        <v>62</v>
      </c>
      <c r="C76" s="4" t="s">
        <v>8</v>
      </c>
      <c r="D76" s="4">
        <v>1000</v>
      </c>
    </row>
    <row r="77" spans="1:4" x14ac:dyDescent="0.2">
      <c r="A77" s="3">
        <v>42988</v>
      </c>
      <c r="B77" s="12" t="s">
        <v>63</v>
      </c>
      <c r="C77" s="4" t="s">
        <v>8</v>
      </c>
      <c r="D77" s="4">
        <v>1000</v>
      </c>
    </row>
    <row r="78" spans="1:4" x14ac:dyDescent="0.2">
      <c r="A78" s="3">
        <v>42988</v>
      </c>
      <c r="B78" s="12" t="s">
        <v>64</v>
      </c>
      <c r="C78" s="4" t="s">
        <v>5</v>
      </c>
      <c r="D78" s="4">
        <v>30000</v>
      </c>
    </row>
    <row r="79" spans="1:4" x14ac:dyDescent="0.2">
      <c r="A79" s="3">
        <v>42988</v>
      </c>
      <c r="B79" s="12" t="s">
        <v>65</v>
      </c>
      <c r="C79" s="4" t="s">
        <v>7</v>
      </c>
      <c r="D79" s="4">
        <v>48000</v>
      </c>
    </row>
    <row r="80" spans="1:4" x14ac:dyDescent="0.2">
      <c r="A80" s="3">
        <v>42990</v>
      </c>
      <c r="B80" s="12" t="s">
        <v>66</v>
      </c>
      <c r="C80" s="4" t="s">
        <v>32</v>
      </c>
      <c r="D80" s="4">
        <v>45000</v>
      </c>
    </row>
    <row r="81" spans="1:4" x14ac:dyDescent="0.2">
      <c r="A81" s="3">
        <v>42990</v>
      </c>
      <c r="B81" s="12" t="s">
        <v>67</v>
      </c>
      <c r="C81" s="4" t="s">
        <v>9</v>
      </c>
      <c r="D81" s="4">
        <v>1000</v>
      </c>
    </row>
    <row r="82" spans="1:4" x14ac:dyDescent="0.2">
      <c r="A82" s="3">
        <v>42990</v>
      </c>
      <c r="B82" s="12" t="s">
        <v>68</v>
      </c>
      <c r="C82" s="4" t="s">
        <v>9</v>
      </c>
      <c r="D82" s="4">
        <v>23000</v>
      </c>
    </row>
    <row r="83" spans="1:4" x14ac:dyDescent="0.2">
      <c r="A83" s="3">
        <v>42990</v>
      </c>
      <c r="B83" s="12" t="s">
        <v>69</v>
      </c>
      <c r="C83" s="4" t="s">
        <v>9</v>
      </c>
      <c r="D83" s="4">
        <v>10000</v>
      </c>
    </row>
    <row r="84" spans="1:4" x14ac:dyDescent="0.2">
      <c r="A84" s="3">
        <v>42990</v>
      </c>
      <c r="B84" s="12" t="s">
        <v>70</v>
      </c>
      <c r="C84" s="4" t="s">
        <v>35</v>
      </c>
      <c r="D84" s="4">
        <v>150000</v>
      </c>
    </row>
    <row r="85" spans="1:4" x14ac:dyDescent="0.2">
      <c r="A85" s="3">
        <v>43018</v>
      </c>
      <c r="B85" s="12" t="s">
        <v>71</v>
      </c>
      <c r="C85" s="4" t="s">
        <v>32</v>
      </c>
      <c r="D85" s="4">
        <v>55000</v>
      </c>
    </row>
    <row r="86" spans="1:4" x14ac:dyDescent="0.2">
      <c r="A86" s="3">
        <v>43018</v>
      </c>
      <c r="B86" s="12" t="s">
        <v>72</v>
      </c>
      <c r="C86" s="4" t="s">
        <v>35</v>
      </c>
      <c r="D86" s="4">
        <v>195000</v>
      </c>
    </row>
    <row r="87" spans="1:4" x14ac:dyDescent="0.2">
      <c r="A87" s="3">
        <v>43018</v>
      </c>
      <c r="B87" s="12" t="s">
        <v>73</v>
      </c>
      <c r="C87" s="4" t="s">
        <v>5</v>
      </c>
      <c r="D87" s="4">
        <v>35000</v>
      </c>
    </row>
    <row r="88" spans="1:4" x14ac:dyDescent="0.2">
      <c r="A88" s="3">
        <v>43023</v>
      </c>
      <c r="B88" s="12" t="s">
        <v>74</v>
      </c>
      <c r="C88" s="4" t="s">
        <v>9</v>
      </c>
      <c r="D88" s="4">
        <v>1000</v>
      </c>
    </row>
    <row r="89" spans="1:4" x14ac:dyDescent="0.2">
      <c r="A89" s="3">
        <v>43023</v>
      </c>
      <c r="B89" s="12" t="s">
        <v>75</v>
      </c>
      <c r="C89" s="4" t="s">
        <v>9</v>
      </c>
      <c r="D89" s="4">
        <v>1000</v>
      </c>
    </row>
    <row r="90" spans="1:4" x14ac:dyDescent="0.2">
      <c r="A90" s="3">
        <v>43023</v>
      </c>
      <c r="B90" s="12" t="s">
        <v>76</v>
      </c>
      <c r="C90" s="4" t="s">
        <v>9</v>
      </c>
      <c r="D90" s="4">
        <v>1000</v>
      </c>
    </row>
    <row r="91" spans="1:4" x14ac:dyDescent="0.2">
      <c r="A91" s="3">
        <v>43023</v>
      </c>
      <c r="B91" s="12" t="s">
        <v>77</v>
      </c>
      <c r="C91" s="4" t="s">
        <v>7</v>
      </c>
      <c r="D91" s="4">
        <v>40000</v>
      </c>
    </row>
    <row r="92" spans="1:4" x14ac:dyDescent="0.2">
      <c r="A92" s="3">
        <v>43050</v>
      </c>
      <c r="B92" s="12" t="s">
        <v>78</v>
      </c>
      <c r="C92" s="4" t="s">
        <v>35</v>
      </c>
      <c r="D92" s="4">
        <v>150000</v>
      </c>
    </row>
    <row r="93" spans="1:4" x14ac:dyDescent="0.2">
      <c r="A93" s="3">
        <v>43050</v>
      </c>
      <c r="B93" s="12" t="s">
        <v>79</v>
      </c>
      <c r="C93" s="4" t="s">
        <v>5</v>
      </c>
      <c r="D93" s="4">
        <v>32000</v>
      </c>
    </row>
    <row r="94" spans="1:4" x14ac:dyDescent="0.2">
      <c r="A94" s="5">
        <v>43050</v>
      </c>
      <c r="B94" s="12" t="s">
        <v>80</v>
      </c>
      <c r="C94" s="6" t="s">
        <v>37</v>
      </c>
      <c r="D94" s="4">
        <v>35000</v>
      </c>
    </row>
    <row r="95" spans="1:4" x14ac:dyDescent="0.2">
      <c r="A95" s="3">
        <v>43051</v>
      </c>
      <c r="B95" s="12" t="s">
        <v>81</v>
      </c>
      <c r="C95" s="4" t="s">
        <v>19</v>
      </c>
      <c r="D95" s="4">
        <v>70000</v>
      </c>
    </row>
    <row r="96" spans="1:4" x14ac:dyDescent="0.2">
      <c r="A96" s="3">
        <v>43051</v>
      </c>
      <c r="B96" s="12" t="s">
        <v>82</v>
      </c>
      <c r="C96" s="4" t="s">
        <v>9</v>
      </c>
      <c r="D96" s="4">
        <v>10000</v>
      </c>
    </row>
    <row r="97" spans="1:4" x14ac:dyDescent="0.2">
      <c r="A97" s="3">
        <v>43051</v>
      </c>
      <c r="B97" s="12" t="s">
        <v>83</v>
      </c>
      <c r="C97" s="4" t="s">
        <v>9</v>
      </c>
      <c r="D97" s="4">
        <v>10000</v>
      </c>
    </row>
    <row r="98" spans="1:4" x14ac:dyDescent="0.2">
      <c r="A98" s="3">
        <v>43051</v>
      </c>
      <c r="B98" s="12" t="s">
        <v>84</v>
      </c>
      <c r="C98" s="4" t="s">
        <v>7</v>
      </c>
      <c r="D98" s="4">
        <v>38000</v>
      </c>
    </row>
    <row r="99" spans="1:4" x14ac:dyDescent="0.2">
      <c r="A99" s="3">
        <v>43081</v>
      </c>
      <c r="B99" s="12" t="s">
        <v>85</v>
      </c>
      <c r="C99" s="4" t="s">
        <v>19</v>
      </c>
      <c r="D99" s="4">
        <v>45000</v>
      </c>
    </row>
    <row r="100" spans="1:4" x14ac:dyDescent="0.2">
      <c r="A100" s="3">
        <v>43081</v>
      </c>
      <c r="B100" s="12" t="s">
        <v>86</v>
      </c>
      <c r="C100" s="4" t="s">
        <v>35</v>
      </c>
      <c r="D100" s="4">
        <v>215000</v>
      </c>
    </row>
    <row r="101" spans="1:4" x14ac:dyDescent="0.2">
      <c r="A101" s="3">
        <v>43081</v>
      </c>
      <c r="B101" s="12" t="s">
        <v>87</v>
      </c>
      <c r="C101" s="4" t="s">
        <v>5</v>
      </c>
      <c r="D101" s="4">
        <v>43000</v>
      </c>
    </row>
    <row r="102" spans="1:4" x14ac:dyDescent="0.2">
      <c r="A102" s="3">
        <v>43081</v>
      </c>
      <c r="B102" s="12" t="s">
        <v>88</v>
      </c>
      <c r="C102" s="6" t="s">
        <v>37</v>
      </c>
      <c r="D102" s="4">
        <v>55000</v>
      </c>
    </row>
    <row r="103" spans="1:4" x14ac:dyDescent="0.2">
      <c r="A103" s="3">
        <v>43086</v>
      </c>
      <c r="B103" s="12" t="s">
        <v>89</v>
      </c>
      <c r="C103" s="4" t="s">
        <v>32</v>
      </c>
      <c r="D103" s="4">
        <v>35000</v>
      </c>
    </row>
    <row r="104" spans="1:4" x14ac:dyDescent="0.2">
      <c r="A104" s="3">
        <v>43086</v>
      </c>
      <c r="B104" s="12" t="s">
        <v>90</v>
      </c>
      <c r="C104" s="4" t="s">
        <v>9</v>
      </c>
      <c r="D104" s="4">
        <v>1000</v>
      </c>
    </row>
    <row r="105" spans="1:4" x14ac:dyDescent="0.2">
      <c r="A105" s="3">
        <v>43086</v>
      </c>
      <c r="B105" s="12" t="s">
        <v>91</v>
      </c>
      <c r="C105" s="4" t="s">
        <v>9</v>
      </c>
      <c r="D105" s="4">
        <v>1000</v>
      </c>
    </row>
    <row r="106" spans="1:4" x14ac:dyDescent="0.2">
      <c r="A106" s="3">
        <v>43086</v>
      </c>
      <c r="B106" s="12" t="s">
        <v>92</v>
      </c>
      <c r="C106" s="4" t="s">
        <v>9</v>
      </c>
      <c r="D106" s="4">
        <v>1000</v>
      </c>
    </row>
    <row r="107" spans="1:4" x14ac:dyDescent="0.2">
      <c r="A107" s="3">
        <v>43086</v>
      </c>
      <c r="B107" s="12" t="s">
        <v>93</v>
      </c>
      <c r="C107" s="4" t="s">
        <v>9</v>
      </c>
      <c r="D107" s="4">
        <v>1000</v>
      </c>
    </row>
    <row r="108" spans="1:4" x14ac:dyDescent="0.2">
      <c r="A108" s="3">
        <v>43089</v>
      </c>
      <c r="B108" s="12" t="s">
        <v>94</v>
      </c>
      <c r="C108" s="4" t="s">
        <v>9</v>
      </c>
      <c r="D108" s="4">
        <v>1000</v>
      </c>
    </row>
    <row r="109" spans="1:4" x14ac:dyDescent="0.2">
      <c r="D10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6"/>
  <sheetViews>
    <sheetView workbookViewId="0">
      <selection activeCell="E136" sqref="E136"/>
    </sheetView>
  </sheetViews>
  <sheetFormatPr baseColWidth="10" defaultColWidth="8.83203125" defaultRowHeight="15" x14ac:dyDescent="0.2"/>
  <cols>
    <col min="1" max="1" width="16.1640625" style="3" bestFit="1" customWidth="1"/>
    <col min="2" max="2" width="11.33203125" style="13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 t="s">
        <v>0</v>
      </c>
      <c r="B1" s="10" t="s">
        <v>1</v>
      </c>
      <c r="C1" s="2" t="s">
        <v>2</v>
      </c>
      <c r="D1" s="7" t="s">
        <v>95</v>
      </c>
    </row>
    <row r="2" spans="1:4" x14ac:dyDescent="0.2">
      <c r="A2" s="3">
        <v>42737</v>
      </c>
      <c r="B2" s="11">
        <v>12546692</v>
      </c>
      <c r="C2" s="4" t="s">
        <v>96</v>
      </c>
      <c r="D2" s="8">
        <v>9800</v>
      </c>
    </row>
    <row r="3" spans="1:4" x14ac:dyDescent="0.2">
      <c r="A3" s="3">
        <v>42737</v>
      </c>
      <c r="B3" s="11">
        <v>12546693</v>
      </c>
      <c r="C3" s="4" t="s">
        <v>96</v>
      </c>
      <c r="D3" s="8">
        <v>10000</v>
      </c>
    </row>
    <row r="4" spans="1:4" x14ac:dyDescent="0.2">
      <c r="A4" s="3">
        <v>42737</v>
      </c>
      <c r="B4" s="11">
        <v>12546694</v>
      </c>
      <c r="C4" s="4" t="s">
        <v>97</v>
      </c>
      <c r="D4" s="8">
        <v>10000</v>
      </c>
    </row>
    <row r="5" spans="1:4" x14ac:dyDescent="0.2">
      <c r="A5" s="3">
        <v>42737</v>
      </c>
      <c r="B5" s="11">
        <v>12546695</v>
      </c>
      <c r="C5" s="4" t="s">
        <v>96</v>
      </c>
      <c r="D5" s="8">
        <v>9700</v>
      </c>
    </row>
    <row r="6" spans="1:4" x14ac:dyDescent="0.2">
      <c r="A6" s="3">
        <v>42738</v>
      </c>
      <c r="B6" s="11">
        <v>12546696</v>
      </c>
      <c r="C6" s="4" t="s">
        <v>98</v>
      </c>
      <c r="D6" s="8">
        <v>10000</v>
      </c>
    </row>
    <row r="7" spans="1:4" x14ac:dyDescent="0.2">
      <c r="A7" s="3">
        <v>42738</v>
      </c>
      <c r="B7" s="11">
        <v>12546697</v>
      </c>
      <c r="C7" s="4" t="s">
        <v>97</v>
      </c>
      <c r="D7" s="8">
        <v>10000</v>
      </c>
    </row>
    <row r="8" spans="1:4" x14ac:dyDescent="0.2">
      <c r="A8" s="3">
        <v>42738</v>
      </c>
      <c r="B8" s="11">
        <v>12546698</v>
      </c>
      <c r="C8" s="4" t="s">
        <v>98</v>
      </c>
      <c r="D8" s="8">
        <v>10000</v>
      </c>
    </row>
    <row r="9" spans="1:4" x14ac:dyDescent="0.2">
      <c r="A9" s="3">
        <v>42738</v>
      </c>
      <c r="B9" s="11">
        <v>12546699</v>
      </c>
      <c r="C9" s="4" t="s">
        <v>98</v>
      </c>
      <c r="D9" s="8">
        <v>10000</v>
      </c>
    </row>
    <row r="10" spans="1:4" x14ac:dyDescent="0.2">
      <c r="A10" s="3">
        <v>42738</v>
      </c>
      <c r="B10" s="11">
        <v>12546700</v>
      </c>
      <c r="C10" s="4" t="s">
        <v>98</v>
      </c>
      <c r="D10" s="8">
        <v>9900</v>
      </c>
    </row>
    <row r="11" spans="1:4" x14ac:dyDescent="0.2">
      <c r="A11" s="3">
        <v>42738</v>
      </c>
      <c r="B11" s="11">
        <v>12546701</v>
      </c>
      <c r="C11" s="4" t="s">
        <v>97</v>
      </c>
      <c r="D11" s="8">
        <v>10000</v>
      </c>
    </row>
    <row r="12" spans="1:4" x14ac:dyDescent="0.2">
      <c r="A12" s="3">
        <v>42768</v>
      </c>
      <c r="B12" s="11">
        <v>12546706</v>
      </c>
      <c r="C12" s="4" t="s">
        <v>98</v>
      </c>
      <c r="D12" s="8">
        <v>10000</v>
      </c>
    </row>
    <row r="13" spans="1:4" x14ac:dyDescent="0.2">
      <c r="A13" s="3">
        <v>42768</v>
      </c>
      <c r="B13" s="11">
        <v>12546707</v>
      </c>
      <c r="C13" s="4" t="s">
        <v>98</v>
      </c>
      <c r="D13" s="8">
        <v>10000</v>
      </c>
    </row>
    <row r="14" spans="1:4" x14ac:dyDescent="0.2">
      <c r="A14" s="3">
        <v>42768</v>
      </c>
      <c r="B14" s="11">
        <v>12546708</v>
      </c>
      <c r="C14" s="4" t="s">
        <v>99</v>
      </c>
      <c r="D14" s="8">
        <v>10000</v>
      </c>
    </row>
    <row r="15" spans="1:4" x14ac:dyDescent="0.2">
      <c r="A15" s="3">
        <v>42768</v>
      </c>
      <c r="B15" s="11">
        <v>12546709</v>
      </c>
      <c r="C15" s="4" t="s">
        <v>99</v>
      </c>
      <c r="D15" s="8">
        <v>8800</v>
      </c>
    </row>
    <row r="16" spans="1:4" x14ac:dyDescent="0.2">
      <c r="A16" s="3">
        <v>42768</v>
      </c>
      <c r="B16" s="11">
        <v>12546710</v>
      </c>
      <c r="C16" s="4" t="s">
        <v>99</v>
      </c>
      <c r="D16" s="8">
        <v>10000</v>
      </c>
    </row>
    <row r="17" spans="1:4" x14ac:dyDescent="0.2">
      <c r="A17" s="3">
        <v>42768</v>
      </c>
      <c r="B17" s="11">
        <v>12546711</v>
      </c>
      <c r="C17" s="4" t="s">
        <v>98</v>
      </c>
      <c r="D17" s="8">
        <v>10000</v>
      </c>
    </row>
    <row r="18" spans="1:4" x14ac:dyDescent="0.2">
      <c r="A18" s="3">
        <v>42768</v>
      </c>
      <c r="B18" s="11">
        <v>12546712</v>
      </c>
      <c r="C18" s="4" t="s">
        <v>97</v>
      </c>
      <c r="D18" s="8">
        <v>10000</v>
      </c>
    </row>
    <row r="19" spans="1:4" x14ac:dyDescent="0.2">
      <c r="A19" s="3">
        <v>42772</v>
      </c>
      <c r="B19" s="11">
        <v>12546713</v>
      </c>
      <c r="C19" s="4" t="s">
        <v>96</v>
      </c>
      <c r="D19" s="8">
        <v>10000</v>
      </c>
    </row>
    <row r="20" spans="1:4" x14ac:dyDescent="0.2">
      <c r="A20" s="3">
        <v>42772</v>
      </c>
      <c r="B20" s="11">
        <v>12546714</v>
      </c>
      <c r="C20" s="4" t="s">
        <v>96</v>
      </c>
      <c r="D20" s="8">
        <v>9900</v>
      </c>
    </row>
    <row r="21" spans="1:4" x14ac:dyDescent="0.2">
      <c r="A21" s="3">
        <v>42772</v>
      </c>
      <c r="B21" s="11">
        <v>12546715</v>
      </c>
      <c r="C21" s="4" t="s">
        <v>96</v>
      </c>
      <c r="D21" s="8">
        <v>10000</v>
      </c>
    </row>
    <row r="22" spans="1:4" x14ac:dyDescent="0.2">
      <c r="A22" s="3">
        <v>42772</v>
      </c>
      <c r="B22" s="11">
        <v>12546716</v>
      </c>
      <c r="C22" s="4" t="s">
        <v>97</v>
      </c>
      <c r="D22" s="8">
        <v>10000</v>
      </c>
    </row>
    <row r="23" spans="1:4" x14ac:dyDescent="0.2">
      <c r="A23" s="3">
        <v>42796</v>
      </c>
      <c r="B23" s="11">
        <v>12546726</v>
      </c>
      <c r="C23" s="4" t="s">
        <v>96</v>
      </c>
      <c r="D23" s="8">
        <v>7500</v>
      </c>
    </row>
    <row r="24" spans="1:4" x14ac:dyDescent="0.2">
      <c r="A24" s="3">
        <v>42796</v>
      </c>
      <c r="B24" s="11">
        <v>12546727</v>
      </c>
      <c r="C24" s="4" t="s">
        <v>96</v>
      </c>
      <c r="D24" s="8">
        <v>10000</v>
      </c>
    </row>
    <row r="25" spans="1:4" x14ac:dyDescent="0.2">
      <c r="A25" s="3">
        <v>42796</v>
      </c>
      <c r="B25" s="11">
        <v>12546728</v>
      </c>
      <c r="C25" s="4" t="s">
        <v>96</v>
      </c>
      <c r="D25" s="8">
        <v>10000</v>
      </c>
    </row>
    <row r="26" spans="1:4" x14ac:dyDescent="0.2">
      <c r="A26" s="3">
        <v>42796</v>
      </c>
      <c r="B26" s="11">
        <v>12546729</v>
      </c>
      <c r="C26" s="4" t="s">
        <v>96</v>
      </c>
      <c r="D26" s="8">
        <v>10000</v>
      </c>
    </row>
    <row r="27" spans="1:4" x14ac:dyDescent="0.2">
      <c r="A27" s="3">
        <v>42797</v>
      </c>
      <c r="B27" s="11">
        <v>12546730</v>
      </c>
      <c r="C27" s="4" t="s">
        <v>100</v>
      </c>
      <c r="D27" s="8">
        <v>8000</v>
      </c>
    </row>
    <row r="28" spans="1:4" x14ac:dyDescent="0.2">
      <c r="A28" s="3">
        <v>42797</v>
      </c>
      <c r="B28" s="11">
        <v>12546731</v>
      </c>
      <c r="C28" s="4" t="s">
        <v>98</v>
      </c>
      <c r="D28" s="8">
        <v>10000</v>
      </c>
    </row>
    <row r="29" spans="1:4" x14ac:dyDescent="0.2">
      <c r="A29" s="3">
        <v>42797</v>
      </c>
      <c r="B29" s="11">
        <v>12546732</v>
      </c>
      <c r="C29" s="4" t="s">
        <v>98</v>
      </c>
      <c r="D29" s="8">
        <v>10000</v>
      </c>
    </row>
    <row r="30" spans="1:4" x14ac:dyDescent="0.2">
      <c r="A30" s="3">
        <v>42797</v>
      </c>
      <c r="B30" s="11">
        <v>12546733</v>
      </c>
      <c r="C30" s="4" t="s">
        <v>98</v>
      </c>
      <c r="D30" s="8">
        <v>10000</v>
      </c>
    </row>
    <row r="31" spans="1:4" x14ac:dyDescent="0.2">
      <c r="A31" s="3">
        <v>42800</v>
      </c>
      <c r="B31" s="11">
        <v>12546734</v>
      </c>
      <c r="C31" s="4" t="s">
        <v>99</v>
      </c>
      <c r="D31" s="8">
        <v>10000</v>
      </c>
    </row>
    <row r="32" spans="1:4" x14ac:dyDescent="0.2">
      <c r="A32" s="3">
        <v>42800</v>
      </c>
      <c r="B32" s="11">
        <v>12546735</v>
      </c>
      <c r="C32" s="4" t="s">
        <v>99</v>
      </c>
      <c r="D32" s="8">
        <v>10000</v>
      </c>
    </row>
    <row r="33" spans="1:4" x14ac:dyDescent="0.2">
      <c r="A33" s="3">
        <v>42800</v>
      </c>
      <c r="B33" s="11">
        <v>12546736</v>
      </c>
      <c r="C33" s="4" t="s">
        <v>97</v>
      </c>
      <c r="D33" s="8">
        <v>9500</v>
      </c>
    </row>
    <row r="34" spans="1:4" x14ac:dyDescent="0.2">
      <c r="A34" s="3">
        <v>42800</v>
      </c>
      <c r="B34" s="11">
        <v>12546737</v>
      </c>
      <c r="C34" s="4" t="s">
        <v>97</v>
      </c>
      <c r="D34" s="8">
        <v>10000</v>
      </c>
    </row>
    <row r="35" spans="1:4" x14ac:dyDescent="0.2">
      <c r="A35" s="3">
        <v>42828</v>
      </c>
      <c r="B35" s="11">
        <v>12546749</v>
      </c>
      <c r="C35" s="4" t="s">
        <v>97</v>
      </c>
      <c r="D35" s="8">
        <v>9000</v>
      </c>
    </row>
    <row r="36" spans="1:4" x14ac:dyDescent="0.2">
      <c r="A36" s="3">
        <v>42828</v>
      </c>
      <c r="B36" s="11">
        <v>12546750</v>
      </c>
      <c r="C36" s="4" t="s">
        <v>97</v>
      </c>
      <c r="D36" s="8">
        <v>10000</v>
      </c>
    </row>
    <row r="37" spans="1:4" x14ac:dyDescent="0.2">
      <c r="A37" s="3">
        <v>42828</v>
      </c>
      <c r="B37" s="11">
        <v>12546751</v>
      </c>
      <c r="C37" s="4" t="s">
        <v>97</v>
      </c>
      <c r="D37" s="8">
        <v>10000</v>
      </c>
    </row>
    <row r="38" spans="1:4" x14ac:dyDescent="0.2">
      <c r="A38" s="3">
        <v>42828</v>
      </c>
      <c r="B38" s="11">
        <v>12546752</v>
      </c>
      <c r="C38" s="4" t="s">
        <v>97</v>
      </c>
      <c r="D38" s="8">
        <v>10000</v>
      </c>
    </row>
    <row r="39" spans="1:4" x14ac:dyDescent="0.2">
      <c r="A39" s="3">
        <v>42828</v>
      </c>
      <c r="B39" s="11">
        <v>12546753</v>
      </c>
      <c r="C39" s="4" t="s">
        <v>97</v>
      </c>
      <c r="D39" s="8">
        <v>8000</v>
      </c>
    </row>
    <row r="40" spans="1:4" x14ac:dyDescent="0.2">
      <c r="A40" s="3">
        <v>42828</v>
      </c>
      <c r="B40" s="11">
        <v>12546754</v>
      </c>
      <c r="C40" s="4" t="s">
        <v>99</v>
      </c>
      <c r="D40" s="8">
        <v>10000</v>
      </c>
    </row>
    <row r="41" spans="1:4" x14ac:dyDescent="0.2">
      <c r="A41" s="3">
        <v>42828</v>
      </c>
      <c r="B41" s="11">
        <v>12546755</v>
      </c>
      <c r="C41" s="4" t="s">
        <v>97</v>
      </c>
      <c r="D41" s="8">
        <v>10000</v>
      </c>
    </row>
    <row r="42" spans="1:4" x14ac:dyDescent="0.2">
      <c r="A42" s="3">
        <v>42829</v>
      </c>
      <c r="B42" s="11">
        <v>12546756</v>
      </c>
      <c r="C42" s="4" t="s">
        <v>96</v>
      </c>
      <c r="D42" s="8">
        <v>10000</v>
      </c>
    </row>
    <row r="43" spans="1:4" x14ac:dyDescent="0.2">
      <c r="A43" s="3">
        <v>42829</v>
      </c>
      <c r="B43" s="11">
        <v>12546757</v>
      </c>
      <c r="C43" s="4" t="s">
        <v>96</v>
      </c>
      <c r="D43" s="8">
        <v>10000</v>
      </c>
    </row>
    <row r="44" spans="1:4" x14ac:dyDescent="0.2">
      <c r="A44" s="3">
        <v>42831</v>
      </c>
      <c r="B44" s="11">
        <v>12546758</v>
      </c>
      <c r="C44" s="4" t="s">
        <v>100</v>
      </c>
      <c r="D44" s="8">
        <v>10000</v>
      </c>
    </row>
    <row r="45" spans="1:4" x14ac:dyDescent="0.2">
      <c r="A45" s="3">
        <v>42831</v>
      </c>
      <c r="B45" s="11">
        <v>12546759</v>
      </c>
      <c r="C45" s="4" t="s">
        <v>100</v>
      </c>
      <c r="D45" s="8">
        <v>10000</v>
      </c>
    </row>
    <row r="46" spans="1:4" x14ac:dyDescent="0.2">
      <c r="A46" s="3">
        <v>42831</v>
      </c>
      <c r="B46" s="11">
        <v>12546760</v>
      </c>
      <c r="C46" s="4" t="s">
        <v>98</v>
      </c>
      <c r="D46" s="8">
        <v>10000</v>
      </c>
    </row>
    <row r="47" spans="1:4" x14ac:dyDescent="0.2">
      <c r="A47" s="3">
        <v>42856</v>
      </c>
      <c r="B47" s="12" t="s">
        <v>101</v>
      </c>
      <c r="C47" s="4" t="s">
        <v>99</v>
      </c>
      <c r="D47" s="8">
        <v>10000</v>
      </c>
    </row>
    <row r="48" spans="1:4" x14ac:dyDescent="0.2">
      <c r="A48" s="3">
        <v>42856</v>
      </c>
      <c r="B48" s="12" t="s">
        <v>102</v>
      </c>
      <c r="C48" s="4" t="s">
        <v>99</v>
      </c>
      <c r="D48" s="8">
        <v>10000</v>
      </c>
    </row>
    <row r="49" spans="1:4" x14ac:dyDescent="0.2">
      <c r="A49" s="3">
        <v>42856</v>
      </c>
      <c r="B49" s="12" t="s">
        <v>103</v>
      </c>
      <c r="C49" s="4" t="s">
        <v>99</v>
      </c>
      <c r="D49" s="8">
        <v>10000</v>
      </c>
    </row>
    <row r="50" spans="1:4" x14ac:dyDescent="0.2">
      <c r="A50" s="3">
        <v>42856</v>
      </c>
      <c r="B50" s="12" t="s">
        <v>104</v>
      </c>
      <c r="C50" s="4" t="s">
        <v>99</v>
      </c>
      <c r="D50" s="8">
        <v>10000</v>
      </c>
    </row>
    <row r="51" spans="1:4" x14ac:dyDescent="0.2">
      <c r="A51" s="3">
        <v>42856</v>
      </c>
      <c r="B51" s="12" t="s">
        <v>105</v>
      </c>
      <c r="C51" s="4" t="s">
        <v>99</v>
      </c>
      <c r="D51" s="8">
        <v>10000</v>
      </c>
    </row>
    <row r="52" spans="1:4" x14ac:dyDescent="0.2">
      <c r="A52" s="3">
        <v>42856</v>
      </c>
      <c r="B52" s="12" t="s">
        <v>106</v>
      </c>
      <c r="C52" s="4" t="s">
        <v>99</v>
      </c>
      <c r="D52" s="8">
        <v>10000</v>
      </c>
    </row>
    <row r="53" spans="1:4" x14ac:dyDescent="0.2">
      <c r="A53" s="3">
        <v>42856</v>
      </c>
      <c r="B53" s="12" t="s">
        <v>107</v>
      </c>
      <c r="C53" s="4" t="s">
        <v>99</v>
      </c>
      <c r="D53" s="8">
        <v>10000</v>
      </c>
    </row>
    <row r="54" spans="1:4" x14ac:dyDescent="0.2">
      <c r="A54" s="3">
        <v>42856</v>
      </c>
      <c r="B54" s="12" t="s">
        <v>108</v>
      </c>
      <c r="C54" s="4" t="s">
        <v>99</v>
      </c>
      <c r="D54" s="8">
        <v>10000</v>
      </c>
    </row>
    <row r="55" spans="1:4" x14ac:dyDescent="0.2">
      <c r="A55" s="3">
        <v>42856</v>
      </c>
      <c r="B55" s="12" t="s">
        <v>109</v>
      </c>
      <c r="C55" s="4" t="s">
        <v>99</v>
      </c>
      <c r="D55" s="8">
        <v>10000</v>
      </c>
    </row>
    <row r="56" spans="1:4" x14ac:dyDescent="0.2">
      <c r="A56" s="3">
        <v>42856</v>
      </c>
      <c r="B56" s="12" t="s">
        <v>110</v>
      </c>
      <c r="C56" s="4" t="s">
        <v>99</v>
      </c>
      <c r="D56" s="8">
        <v>10000</v>
      </c>
    </row>
    <row r="57" spans="1:4" x14ac:dyDescent="0.2">
      <c r="A57" s="3">
        <v>42856</v>
      </c>
      <c r="B57" s="12" t="s">
        <v>111</v>
      </c>
      <c r="C57" s="4" t="s">
        <v>99</v>
      </c>
      <c r="D57" s="8">
        <v>10000</v>
      </c>
    </row>
    <row r="58" spans="1:4" x14ac:dyDescent="0.2">
      <c r="A58" s="3">
        <v>42856</v>
      </c>
      <c r="B58" s="12" t="s">
        <v>112</v>
      </c>
      <c r="C58" s="4" t="s">
        <v>99</v>
      </c>
      <c r="D58" s="8">
        <v>10000</v>
      </c>
    </row>
    <row r="59" spans="1:4" x14ac:dyDescent="0.2">
      <c r="A59" s="3">
        <v>42859</v>
      </c>
      <c r="B59" s="12" t="s">
        <v>113</v>
      </c>
      <c r="C59" s="4" t="s">
        <v>97</v>
      </c>
      <c r="D59" s="8">
        <v>10000</v>
      </c>
    </row>
    <row r="60" spans="1:4" x14ac:dyDescent="0.2">
      <c r="A60" s="3">
        <v>42859</v>
      </c>
      <c r="B60" s="12" t="s">
        <v>114</v>
      </c>
      <c r="C60" s="4" t="s">
        <v>96</v>
      </c>
      <c r="D60" s="8">
        <v>9500</v>
      </c>
    </row>
    <row r="61" spans="1:4" x14ac:dyDescent="0.2">
      <c r="A61" s="3">
        <v>42859</v>
      </c>
      <c r="B61" s="12" t="s">
        <v>115</v>
      </c>
      <c r="C61" s="4" t="s">
        <v>96</v>
      </c>
      <c r="D61" s="8">
        <v>10000</v>
      </c>
    </row>
    <row r="62" spans="1:4" x14ac:dyDescent="0.2">
      <c r="A62" s="5">
        <v>42859</v>
      </c>
      <c r="B62" s="12" t="s">
        <v>116</v>
      </c>
      <c r="C62" s="6" t="s">
        <v>100</v>
      </c>
      <c r="D62" s="9">
        <v>10000</v>
      </c>
    </row>
    <row r="63" spans="1:4" x14ac:dyDescent="0.2">
      <c r="A63" s="3">
        <v>42890</v>
      </c>
      <c r="B63" s="12" t="s">
        <v>117</v>
      </c>
      <c r="C63" s="4" t="s">
        <v>96</v>
      </c>
      <c r="D63" s="8">
        <v>10000</v>
      </c>
    </row>
    <row r="64" spans="1:4" x14ac:dyDescent="0.2">
      <c r="A64" s="3">
        <v>42890</v>
      </c>
      <c r="B64" s="12" t="s">
        <v>118</v>
      </c>
      <c r="C64" s="4" t="s">
        <v>119</v>
      </c>
      <c r="D64" s="8">
        <v>150000</v>
      </c>
    </row>
    <row r="65" spans="1:4" x14ac:dyDescent="0.2">
      <c r="A65" s="3">
        <v>42890</v>
      </c>
      <c r="B65" s="12" t="s">
        <v>120</v>
      </c>
      <c r="C65" s="4" t="s">
        <v>100</v>
      </c>
      <c r="D65" s="8">
        <v>9500</v>
      </c>
    </row>
    <row r="66" spans="1:4" x14ac:dyDescent="0.2">
      <c r="A66" s="3">
        <v>42890</v>
      </c>
      <c r="B66" s="12" t="s">
        <v>121</v>
      </c>
      <c r="C66" s="4" t="s">
        <v>98</v>
      </c>
      <c r="D66" s="8">
        <v>9500</v>
      </c>
    </row>
    <row r="67" spans="1:4" x14ac:dyDescent="0.2">
      <c r="A67" s="3">
        <v>42890</v>
      </c>
      <c r="B67" s="12" t="s">
        <v>122</v>
      </c>
      <c r="C67" s="4" t="s">
        <v>98</v>
      </c>
      <c r="D67" s="8">
        <v>10000</v>
      </c>
    </row>
    <row r="68" spans="1:4" x14ac:dyDescent="0.2">
      <c r="A68" s="3">
        <v>42890</v>
      </c>
      <c r="B68" s="12" t="s">
        <v>123</v>
      </c>
      <c r="C68" s="4" t="s">
        <v>98</v>
      </c>
      <c r="D68" s="8">
        <v>10000</v>
      </c>
    </row>
    <row r="69" spans="1:4" x14ac:dyDescent="0.2">
      <c r="A69" s="3">
        <v>42892</v>
      </c>
      <c r="B69" s="12" t="s">
        <v>124</v>
      </c>
      <c r="C69" s="4" t="s">
        <v>99</v>
      </c>
      <c r="D69" s="8">
        <v>10000</v>
      </c>
    </row>
    <row r="70" spans="1:4" x14ac:dyDescent="0.2">
      <c r="A70" s="3">
        <v>42892</v>
      </c>
      <c r="B70" s="12" t="s">
        <v>125</v>
      </c>
      <c r="C70" s="4" t="s">
        <v>99</v>
      </c>
      <c r="D70" s="8">
        <v>10000</v>
      </c>
    </row>
    <row r="71" spans="1:4" x14ac:dyDescent="0.2">
      <c r="A71" s="3">
        <v>42892</v>
      </c>
      <c r="B71" s="12" t="s">
        <v>126</v>
      </c>
      <c r="C71" s="4" t="s">
        <v>97</v>
      </c>
      <c r="D71" s="8">
        <v>10000</v>
      </c>
    </row>
    <row r="72" spans="1:4" x14ac:dyDescent="0.2">
      <c r="A72" s="3">
        <v>42892</v>
      </c>
      <c r="B72" s="12" t="s">
        <v>127</v>
      </c>
      <c r="C72" s="4" t="s">
        <v>97</v>
      </c>
      <c r="D72" s="8">
        <v>10000</v>
      </c>
    </row>
    <row r="73" spans="1:4" x14ac:dyDescent="0.2">
      <c r="A73" s="3">
        <v>42892</v>
      </c>
      <c r="B73" s="12" t="s">
        <v>128</v>
      </c>
      <c r="C73" s="4" t="s">
        <v>97</v>
      </c>
      <c r="D73" s="8">
        <v>9500</v>
      </c>
    </row>
    <row r="74" spans="1:4" x14ac:dyDescent="0.2">
      <c r="A74" s="3">
        <v>42892</v>
      </c>
      <c r="B74" s="12" t="s">
        <v>129</v>
      </c>
      <c r="C74" s="4" t="s">
        <v>97</v>
      </c>
      <c r="D74" s="8">
        <v>9500</v>
      </c>
    </row>
    <row r="75" spans="1:4" x14ac:dyDescent="0.2">
      <c r="A75" s="3">
        <v>42892</v>
      </c>
      <c r="B75" s="12" t="s">
        <v>130</v>
      </c>
      <c r="C75" s="4" t="s">
        <v>97</v>
      </c>
      <c r="D75" s="8">
        <v>9500</v>
      </c>
    </row>
    <row r="76" spans="1:4" x14ac:dyDescent="0.2">
      <c r="A76" s="3">
        <v>42892</v>
      </c>
      <c r="B76" s="12" t="s">
        <v>131</v>
      </c>
      <c r="C76" s="4" t="s">
        <v>97</v>
      </c>
      <c r="D76" s="8">
        <v>9500</v>
      </c>
    </row>
    <row r="77" spans="1:4" x14ac:dyDescent="0.2">
      <c r="A77" s="3">
        <v>42892</v>
      </c>
      <c r="B77" s="12" t="s">
        <v>132</v>
      </c>
      <c r="C77" s="4" t="s">
        <v>97</v>
      </c>
      <c r="D77" s="8">
        <v>9500</v>
      </c>
    </row>
    <row r="78" spans="1:4" x14ac:dyDescent="0.2">
      <c r="A78" s="3">
        <v>42919</v>
      </c>
      <c r="B78" s="12" t="s">
        <v>133</v>
      </c>
      <c r="C78" s="4" t="s">
        <v>96</v>
      </c>
      <c r="D78" s="8">
        <v>9500</v>
      </c>
    </row>
    <row r="79" spans="1:4" x14ac:dyDescent="0.2">
      <c r="A79" s="3">
        <v>42919</v>
      </c>
      <c r="B79" s="12" t="s">
        <v>134</v>
      </c>
      <c r="C79" s="4" t="s">
        <v>96</v>
      </c>
      <c r="D79" s="8">
        <v>10000</v>
      </c>
    </row>
    <row r="80" spans="1:4" x14ac:dyDescent="0.2">
      <c r="A80" s="3">
        <v>42919</v>
      </c>
      <c r="B80" s="12" t="s">
        <v>135</v>
      </c>
      <c r="C80" s="4" t="s">
        <v>119</v>
      </c>
      <c r="D80" s="8">
        <v>160000</v>
      </c>
    </row>
    <row r="81" spans="1:4" x14ac:dyDescent="0.2">
      <c r="A81" s="3">
        <v>42919</v>
      </c>
      <c r="B81" s="12" t="s">
        <v>136</v>
      </c>
      <c r="C81" s="4" t="s">
        <v>98</v>
      </c>
      <c r="D81" s="8">
        <v>12000</v>
      </c>
    </row>
    <row r="82" spans="1:4" x14ac:dyDescent="0.2">
      <c r="A82" s="3">
        <v>42921</v>
      </c>
      <c r="B82" s="12" t="s">
        <v>137</v>
      </c>
      <c r="C82" s="4" t="s">
        <v>98</v>
      </c>
      <c r="D82" s="8">
        <v>9500</v>
      </c>
    </row>
    <row r="83" spans="1:4" x14ac:dyDescent="0.2">
      <c r="A83" s="3">
        <v>42921</v>
      </c>
      <c r="B83" s="12" t="s">
        <v>138</v>
      </c>
      <c r="C83" s="4" t="s">
        <v>98</v>
      </c>
      <c r="D83" s="8">
        <v>10000</v>
      </c>
    </row>
    <row r="84" spans="1:4" x14ac:dyDescent="0.2">
      <c r="A84" s="3">
        <v>42921</v>
      </c>
      <c r="B84" s="12" t="s">
        <v>139</v>
      </c>
      <c r="C84" s="4" t="s">
        <v>99</v>
      </c>
      <c r="D84" s="8">
        <v>10000</v>
      </c>
    </row>
    <row r="85" spans="1:4" x14ac:dyDescent="0.2">
      <c r="A85" s="3">
        <v>42923</v>
      </c>
      <c r="B85" s="12" t="s">
        <v>140</v>
      </c>
      <c r="C85" s="4" t="s">
        <v>99</v>
      </c>
      <c r="D85" s="8">
        <v>10000</v>
      </c>
    </row>
    <row r="86" spans="1:4" x14ac:dyDescent="0.2">
      <c r="A86" s="3">
        <v>42923</v>
      </c>
      <c r="B86" s="12" t="s">
        <v>141</v>
      </c>
      <c r="C86" s="4" t="s">
        <v>97</v>
      </c>
      <c r="D86" s="8">
        <v>10000</v>
      </c>
    </row>
    <row r="87" spans="1:4" x14ac:dyDescent="0.2">
      <c r="A87" s="3">
        <v>42923</v>
      </c>
      <c r="B87" s="12" t="s">
        <v>142</v>
      </c>
      <c r="C87" s="4" t="s">
        <v>97</v>
      </c>
      <c r="D87" s="8">
        <v>9500</v>
      </c>
    </row>
    <row r="88" spans="1:4" x14ac:dyDescent="0.2">
      <c r="A88" s="3">
        <v>42923</v>
      </c>
      <c r="B88" s="12" t="s">
        <v>143</v>
      </c>
      <c r="C88" s="4" t="s">
        <v>97</v>
      </c>
      <c r="D88" s="8">
        <v>9500</v>
      </c>
    </row>
    <row r="89" spans="1:4" x14ac:dyDescent="0.2">
      <c r="A89" s="3">
        <v>42923</v>
      </c>
      <c r="B89" s="12" t="s">
        <v>144</v>
      </c>
      <c r="C89" s="4" t="s">
        <v>97</v>
      </c>
      <c r="D89" s="8">
        <v>9500</v>
      </c>
    </row>
    <row r="90" spans="1:4" x14ac:dyDescent="0.2">
      <c r="A90" s="3">
        <v>42923</v>
      </c>
      <c r="B90" s="12" t="s">
        <v>145</v>
      </c>
      <c r="C90" s="4" t="s">
        <v>97</v>
      </c>
      <c r="D90" s="8">
        <v>10000</v>
      </c>
    </row>
    <row r="91" spans="1:4" x14ac:dyDescent="0.2">
      <c r="A91" s="3">
        <v>42948</v>
      </c>
      <c r="B91" s="12" t="s">
        <v>146</v>
      </c>
      <c r="C91" s="4" t="s">
        <v>119</v>
      </c>
      <c r="D91" s="8">
        <v>250000</v>
      </c>
    </row>
    <row r="92" spans="1:4" x14ac:dyDescent="0.2">
      <c r="A92" s="3">
        <v>42948</v>
      </c>
      <c r="B92" s="12" t="s">
        <v>147</v>
      </c>
      <c r="C92" s="4" t="s">
        <v>96</v>
      </c>
      <c r="D92" s="8">
        <v>10000</v>
      </c>
    </row>
    <row r="93" spans="1:4" x14ac:dyDescent="0.2">
      <c r="A93" s="3">
        <v>42948</v>
      </c>
      <c r="B93" s="12" t="s">
        <v>148</v>
      </c>
      <c r="C93" s="4" t="s">
        <v>100</v>
      </c>
      <c r="D93" s="8">
        <v>10000</v>
      </c>
    </row>
    <row r="94" spans="1:4" x14ac:dyDescent="0.2">
      <c r="A94" s="3">
        <v>42948</v>
      </c>
      <c r="B94" s="12" t="s">
        <v>149</v>
      </c>
      <c r="C94" s="4" t="s">
        <v>98</v>
      </c>
      <c r="D94" s="8">
        <v>10000</v>
      </c>
    </row>
    <row r="95" spans="1:4" x14ac:dyDescent="0.2">
      <c r="A95" s="3">
        <v>42952</v>
      </c>
      <c r="B95" s="12" t="s">
        <v>150</v>
      </c>
      <c r="C95" s="4" t="s">
        <v>98</v>
      </c>
      <c r="D95" s="8">
        <v>9500</v>
      </c>
    </row>
    <row r="96" spans="1:4" x14ac:dyDescent="0.2">
      <c r="A96" s="3">
        <v>42952</v>
      </c>
      <c r="B96" s="12" t="s">
        <v>151</v>
      </c>
      <c r="C96" s="4" t="s">
        <v>98</v>
      </c>
      <c r="D96" s="8">
        <v>9500</v>
      </c>
    </row>
    <row r="97" spans="1:4" x14ac:dyDescent="0.2">
      <c r="A97" s="3">
        <v>42952</v>
      </c>
      <c r="B97" s="12" t="s">
        <v>152</v>
      </c>
      <c r="C97" s="4" t="s">
        <v>99</v>
      </c>
      <c r="D97" s="8">
        <v>9500</v>
      </c>
    </row>
    <row r="98" spans="1:4" x14ac:dyDescent="0.2">
      <c r="A98" s="3">
        <v>42952</v>
      </c>
      <c r="B98" s="12" t="s">
        <v>153</v>
      </c>
      <c r="C98" s="4" t="s">
        <v>99</v>
      </c>
      <c r="D98" s="8">
        <v>9500</v>
      </c>
    </row>
    <row r="99" spans="1:4" x14ac:dyDescent="0.2">
      <c r="A99" s="3">
        <v>42952</v>
      </c>
      <c r="B99" s="12" t="s">
        <v>154</v>
      </c>
      <c r="C99" s="4" t="s">
        <v>97</v>
      </c>
      <c r="D99" s="8">
        <v>9500</v>
      </c>
    </row>
    <row r="100" spans="1:4" x14ac:dyDescent="0.2">
      <c r="A100" s="3">
        <v>42952</v>
      </c>
      <c r="B100" s="12" t="s">
        <v>155</v>
      </c>
      <c r="C100" s="4" t="s">
        <v>97</v>
      </c>
      <c r="D100" s="8">
        <v>9500</v>
      </c>
    </row>
    <row r="101" spans="1:4" x14ac:dyDescent="0.2">
      <c r="A101" s="3">
        <v>42952</v>
      </c>
      <c r="B101" s="12" t="s">
        <v>156</v>
      </c>
      <c r="C101" s="4" t="s">
        <v>97</v>
      </c>
      <c r="D101" s="8">
        <v>9500</v>
      </c>
    </row>
    <row r="102" spans="1:4" x14ac:dyDescent="0.2">
      <c r="A102" s="3">
        <v>42981</v>
      </c>
      <c r="B102" s="12" t="s">
        <v>157</v>
      </c>
      <c r="C102" s="4" t="s">
        <v>119</v>
      </c>
      <c r="D102" s="8">
        <v>250000</v>
      </c>
    </row>
    <row r="103" spans="1:4" x14ac:dyDescent="0.2">
      <c r="A103" s="3">
        <v>42981</v>
      </c>
      <c r="B103" s="12" t="s">
        <v>158</v>
      </c>
      <c r="C103" s="4" t="s">
        <v>96</v>
      </c>
      <c r="D103" s="8">
        <v>10000</v>
      </c>
    </row>
    <row r="104" spans="1:4" x14ac:dyDescent="0.2">
      <c r="A104" s="3">
        <v>42981</v>
      </c>
      <c r="B104" s="12" t="s">
        <v>159</v>
      </c>
      <c r="C104" s="4" t="s">
        <v>100</v>
      </c>
      <c r="D104" s="8">
        <v>10000</v>
      </c>
    </row>
    <row r="105" spans="1:4" x14ac:dyDescent="0.2">
      <c r="A105" s="3">
        <v>42981</v>
      </c>
      <c r="B105" s="12" t="s">
        <v>160</v>
      </c>
      <c r="C105" s="4" t="s">
        <v>98</v>
      </c>
      <c r="D105" s="8">
        <v>10000</v>
      </c>
    </row>
    <row r="106" spans="1:4" x14ac:dyDescent="0.2">
      <c r="A106" s="3">
        <v>42982</v>
      </c>
      <c r="B106" s="12" t="s">
        <v>161</v>
      </c>
      <c r="C106" s="4" t="s">
        <v>98</v>
      </c>
      <c r="D106" s="8">
        <v>9500</v>
      </c>
    </row>
    <row r="107" spans="1:4" x14ac:dyDescent="0.2">
      <c r="A107" s="3">
        <v>42982</v>
      </c>
      <c r="B107" s="12" t="s">
        <v>162</v>
      </c>
      <c r="C107" s="4" t="s">
        <v>98</v>
      </c>
      <c r="D107" s="8">
        <v>9500</v>
      </c>
    </row>
    <row r="108" spans="1:4" x14ac:dyDescent="0.2">
      <c r="A108" s="3">
        <v>42982</v>
      </c>
      <c r="B108" s="12" t="s">
        <v>163</v>
      </c>
      <c r="C108" s="4" t="s">
        <v>99</v>
      </c>
      <c r="D108" s="8">
        <v>9500</v>
      </c>
    </row>
    <row r="109" spans="1:4" x14ac:dyDescent="0.2">
      <c r="A109" s="3">
        <v>43012</v>
      </c>
      <c r="B109" s="12" t="s">
        <v>164</v>
      </c>
      <c r="C109" s="4" t="s">
        <v>119</v>
      </c>
      <c r="D109" s="8">
        <v>250000</v>
      </c>
    </row>
    <row r="110" spans="1:4" x14ac:dyDescent="0.2">
      <c r="A110" s="3">
        <v>43012</v>
      </c>
      <c r="B110" s="12" t="s">
        <v>165</v>
      </c>
      <c r="C110" s="4" t="s">
        <v>96</v>
      </c>
      <c r="D110" s="8">
        <v>10000</v>
      </c>
    </row>
    <row r="111" spans="1:4" x14ac:dyDescent="0.2">
      <c r="A111" s="3">
        <v>43012</v>
      </c>
      <c r="B111" s="12" t="s">
        <v>166</v>
      </c>
      <c r="C111" s="4" t="s">
        <v>100</v>
      </c>
      <c r="D111" s="8">
        <v>10000</v>
      </c>
    </row>
    <row r="112" spans="1:4" x14ac:dyDescent="0.2">
      <c r="A112" s="3">
        <v>43012</v>
      </c>
      <c r="B112" s="12" t="s">
        <v>167</v>
      </c>
      <c r="C112" s="4" t="s">
        <v>98</v>
      </c>
      <c r="D112" s="8">
        <v>10000</v>
      </c>
    </row>
    <row r="113" spans="1:4" x14ac:dyDescent="0.2">
      <c r="A113" s="3">
        <v>43015</v>
      </c>
      <c r="B113" s="12" t="s">
        <v>168</v>
      </c>
      <c r="C113" s="4" t="s">
        <v>98</v>
      </c>
      <c r="D113" s="8">
        <v>9500</v>
      </c>
    </row>
    <row r="114" spans="1:4" x14ac:dyDescent="0.2">
      <c r="A114" s="3">
        <v>43015</v>
      </c>
      <c r="B114" s="12" t="s">
        <v>169</v>
      </c>
      <c r="C114" s="4" t="s">
        <v>98</v>
      </c>
      <c r="D114" s="8">
        <v>9500</v>
      </c>
    </row>
    <row r="115" spans="1:4" x14ac:dyDescent="0.2">
      <c r="A115" s="3">
        <v>43015</v>
      </c>
      <c r="B115" s="12" t="s">
        <v>170</v>
      </c>
      <c r="C115" s="4" t="s">
        <v>99</v>
      </c>
      <c r="D115" s="8">
        <v>9500</v>
      </c>
    </row>
    <row r="116" spans="1:4" x14ac:dyDescent="0.2">
      <c r="A116" s="3">
        <v>43015</v>
      </c>
      <c r="B116" s="12" t="s">
        <v>171</v>
      </c>
      <c r="C116" s="4" t="s">
        <v>99</v>
      </c>
      <c r="D116" s="8">
        <v>9500</v>
      </c>
    </row>
    <row r="117" spans="1:4" x14ac:dyDescent="0.2">
      <c r="A117" s="3">
        <v>43015</v>
      </c>
      <c r="B117" s="12" t="s">
        <v>172</v>
      </c>
      <c r="C117" s="4" t="s">
        <v>97</v>
      </c>
      <c r="D117" s="8">
        <v>9500</v>
      </c>
    </row>
    <row r="118" spans="1:4" x14ac:dyDescent="0.2">
      <c r="A118" s="3">
        <v>43043</v>
      </c>
      <c r="B118" s="12" t="s">
        <v>173</v>
      </c>
      <c r="C118" s="4" t="s">
        <v>119</v>
      </c>
      <c r="D118" s="8">
        <v>250000</v>
      </c>
    </row>
    <row r="119" spans="1:4" x14ac:dyDescent="0.2">
      <c r="A119" s="3">
        <v>43043</v>
      </c>
      <c r="B119" s="12" t="s">
        <v>174</v>
      </c>
      <c r="C119" s="4" t="s">
        <v>96</v>
      </c>
      <c r="D119" s="8">
        <v>10000</v>
      </c>
    </row>
    <row r="120" spans="1:4" x14ac:dyDescent="0.2">
      <c r="A120" s="3">
        <v>43043</v>
      </c>
      <c r="B120" s="12" t="s">
        <v>175</v>
      </c>
      <c r="C120" s="4" t="s">
        <v>100</v>
      </c>
      <c r="D120" s="8">
        <v>10000</v>
      </c>
    </row>
    <row r="121" spans="1:4" x14ac:dyDescent="0.2">
      <c r="A121" s="3">
        <v>43043</v>
      </c>
      <c r="B121" s="12" t="s">
        <v>176</v>
      </c>
      <c r="C121" s="4" t="s">
        <v>98</v>
      </c>
      <c r="D121" s="8">
        <v>10000</v>
      </c>
    </row>
    <row r="122" spans="1:4" x14ac:dyDescent="0.2">
      <c r="A122" s="3">
        <v>43043</v>
      </c>
      <c r="B122" s="12" t="s">
        <v>177</v>
      </c>
      <c r="C122" s="4" t="s">
        <v>98</v>
      </c>
      <c r="D122" s="8">
        <v>9500</v>
      </c>
    </row>
    <row r="123" spans="1:4" x14ac:dyDescent="0.2">
      <c r="A123" s="3">
        <v>43045</v>
      </c>
      <c r="B123" s="12" t="s">
        <v>178</v>
      </c>
      <c r="C123" s="4" t="s">
        <v>98</v>
      </c>
      <c r="D123" s="8">
        <v>9500</v>
      </c>
    </row>
    <row r="124" spans="1:4" x14ac:dyDescent="0.2">
      <c r="A124" s="3">
        <v>43045</v>
      </c>
      <c r="B124" s="12" t="s">
        <v>179</v>
      </c>
      <c r="C124" s="4" t="s">
        <v>99</v>
      </c>
      <c r="D124" s="8">
        <v>9500</v>
      </c>
    </row>
    <row r="125" spans="1:4" x14ac:dyDescent="0.2">
      <c r="A125" s="3">
        <v>43045</v>
      </c>
      <c r="B125" s="12" t="s">
        <v>180</v>
      </c>
      <c r="C125" s="4" t="s">
        <v>99</v>
      </c>
      <c r="D125" s="8">
        <v>9500</v>
      </c>
    </row>
    <row r="126" spans="1:4" x14ac:dyDescent="0.2">
      <c r="A126" s="3">
        <v>43045</v>
      </c>
      <c r="B126" s="12" t="s">
        <v>181</v>
      </c>
      <c r="C126" s="4" t="s">
        <v>97</v>
      </c>
      <c r="D126" s="8">
        <v>9500</v>
      </c>
    </row>
    <row r="127" spans="1:4" x14ac:dyDescent="0.2">
      <c r="A127" s="3">
        <v>43045</v>
      </c>
      <c r="B127" s="12" t="s">
        <v>182</v>
      </c>
      <c r="C127" s="4" t="s">
        <v>97</v>
      </c>
      <c r="D127" s="8">
        <v>9500</v>
      </c>
    </row>
    <row r="128" spans="1:4" x14ac:dyDescent="0.2">
      <c r="A128" s="3">
        <v>43045</v>
      </c>
      <c r="B128" s="12" t="s">
        <v>183</v>
      </c>
      <c r="C128" s="4" t="s">
        <v>97</v>
      </c>
      <c r="D128" s="8">
        <v>9500</v>
      </c>
    </row>
    <row r="129" spans="1:4" x14ac:dyDescent="0.2">
      <c r="A129" s="3">
        <v>43071</v>
      </c>
      <c r="B129" s="12" t="s">
        <v>184</v>
      </c>
      <c r="C129" s="4" t="s">
        <v>119</v>
      </c>
      <c r="D129" s="8">
        <v>340000</v>
      </c>
    </row>
    <row r="130" spans="1:4" x14ac:dyDescent="0.2">
      <c r="A130" s="3">
        <v>43071</v>
      </c>
      <c r="B130" s="12" t="s">
        <v>185</v>
      </c>
      <c r="C130" s="4" t="s">
        <v>96</v>
      </c>
      <c r="D130" s="8">
        <v>10000</v>
      </c>
    </row>
    <row r="131" spans="1:4" x14ac:dyDescent="0.2">
      <c r="A131" s="3">
        <v>43071</v>
      </c>
      <c r="B131" s="12" t="s">
        <v>186</v>
      </c>
      <c r="C131" s="4" t="s">
        <v>100</v>
      </c>
      <c r="D131" s="8">
        <v>10000</v>
      </c>
    </row>
    <row r="132" spans="1:4" x14ac:dyDescent="0.2">
      <c r="A132" s="3">
        <v>43071</v>
      </c>
      <c r="B132" s="12" t="s">
        <v>187</v>
      </c>
      <c r="C132" s="4" t="s">
        <v>98</v>
      </c>
      <c r="D132" s="8">
        <v>10000</v>
      </c>
    </row>
    <row r="133" spans="1:4" x14ac:dyDescent="0.2">
      <c r="A133" s="3">
        <v>43072</v>
      </c>
      <c r="B133" s="12" t="s">
        <v>188</v>
      </c>
      <c r="C133" s="4" t="s">
        <v>98</v>
      </c>
      <c r="D133" s="8">
        <v>10000</v>
      </c>
    </row>
    <row r="134" spans="1:4" x14ac:dyDescent="0.2">
      <c r="A134" s="3">
        <v>43072</v>
      </c>
      <c r="B134" s="12" t="s">
        <v>189</v>
      </c>
      <c r="C134" s="4" t="s">
        <v>98</v>
      </c>
      <c r="D134" s="8">
        <v>10000</v>
      </c>
    </row>
    <row r="135" spans="1:4" x14ac:dyDescent="0.2">
      <c r="A135" s="3">
        <v>43072</v>
      </c>
      <c r="B135" s="12" t="s">
        <v>190</v>
      </c>
      <c r="C135" s="4" t="s">
        <v>99</v>
      </c>
      <c r="D135" s="8">
        <v>10000</v>
      </c>
    </row>
    <row r="136" spans="1:4" x14ac:dyDescent="0.2">
      <c r="D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What to do</vt:lpstr>
      <vt:lpstr>Sheet1</vt:lpstr>
      <vt:lpstr>Original statement</vt:lpstr>
      <vt:lpstr>Statement of debit</vt:lpstr>
      <vt:lpstr>Statement of credit</vt:lpstr>
      <vt:lpstr>'Original statement'!Excel_statement_exercise_for_pivot_and_filter1_1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2017-07-14T20:13:00Z</dcterms:created>
  <dcterms:modified xsi:type="dcterms:W3CDTF">2025-12-01T05:15:26Z</dcterms:modified>
</cp:coreProperties>
</file>